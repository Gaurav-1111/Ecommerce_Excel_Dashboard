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Gaurav\Downloads\"/>
    </mc:Choice>
  </mc:AlternateContent>
  <xr:revisionPtr revIDLastSave="0" documentId="13_ncr:1_{AD10933A-EE7C-4AF3-8342-EEE03B12F6C4}" xr6:coauthVersionLast="47" xr6:coauthVersionMax="47" xr10:uidLastSave="{00000000-0000-0000-0000-000000000000}"/>
  <bookViews>
    <workbookView xWindow="-120" yWindow="-120" windowWidth="20730" windowHeight="11160" activeTab="3" xr2:uid="{9E1190CB-FBCA-4DFD-92A5-80D8BF290735}"/>
  </bookViews>
  <sheets>
    <sheet name="Customer Info" sheetId="8" r:id="rId1"/>
    <sheet name="Order Info" sheetId="9" r:id="rId2"/>
    <sheet name="Yearly_Order_Pivot" sheetId="12" r:id="rId3"/>
    <sheet name="Customer Dashboard" sheetId="5" r:id="rId4"/>
  </sheets>
  <definedNames>
    <definedName name="_xlnm._FilterDatabase" localSheetId="3" hidden="1">'Customer Dashboard'!$B$15:$J$845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_xlnm.Print_Area" localSheetId="3">'Customer Dashboard'!$A$1:$N$817</definedName>
    <definedName name="Slicer_Order_Month">#N/A</definedName>
  </definedNames>
  <calcPr calcId="191029"/>
  <pivotCaches>
    <pivotCache cacheId="13"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5" l="1"/>
  <c r="B9" i="5"/>
  <c r="G4" i="5"/>
  <c r="G6" i="5"/>
  <c r="G8"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D6" i="5"/>
  <c r="C11" i="5"/>
  <c r="E11" i="5"/>
  <c r="D11" i="5"/>
  <c r="C6" i="5"/>
  <c r="B6"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2" i="9"/>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<sst xmlns="http://schemas.openxmlformats.org/spreadsheetml/2006/main" count="5859" uniqueCount="655">
  <si>
    <t>Wilman Kala</t>
  </si>
  <si>
    <t>White Clover Markets</t>
  </si>
  <si>
    <t>Tortuga Restaurante</t>
  </si>
  <si>
    <t>The Cracker Box</t>
  </si>
  <si>
    <t>The Big Cheese</t>
  </si>
  <si>
    <t>Simons bistro</t>
  </si>
  <si>
    <t>Seven Seas Imports</t>
  </si>
  <si>
    <t>Richter Supermarkt</t>
  </si>
  <si>
    <t>Ricardo Adocicados</t>
  </si>
  <si>
    <t>Rancho grande</t>
  </si>
  <si>
    <t>QUICK-Stop</t>
  </si>
  <si>
    <t>Pericles Comidas clásicas</t>
  </si>
  <si>
    <t>Maison Dewey</t>
  </si>
  <si>
    <t>Let's Stop N Shop</t>
  </si>
  <si>
    <t>Island Trading</t>
  </si>
  <si>
    <t>Ernst Handel</t>
  </si>
  <si>
    <t>Eastern Connection</t>
  </si>
  <si>
    <t>Consolidated Holdings</t>
  </si>
  <si>
    <t>CONTACT</t>
  </si>
  <si>
    <t>PHONE</t>
  </si>
  <si>
    <t>ADDRESS</t>
  </si>
  <si>
    <t>CITY</t>
  </si>
  <si>
    <t>REGION</t>
  </si>
  <si>
    <t>POSTAL CODE</t>
  </si>
  <si>
    <t>FAX</t>
  </si>
  <si>
    <t>ORDER COUNT</t>
  </si>
  <si>
    <t>AVERAGE FREIGHT</t>
  </si>
  <si>
    <t>LAST ORDER</t>
  </si>
  <si>
    <t>ORDER HISTORY</t>
  </si>
  <si>
    <t>ALFKI</t>
  </si>
  <si>
    <t>Sales Representative</t>
  </si>
  <si>
    <t>030-0074321</t>
  </si>
  <si>
    <t>030-0076545</t>
  </si>
  <si>
    <t>ANATR</t>
  </si>
  <si>
    <t>Owner</t>
  </si>
  <si>
    <t>(5) 555-4729</t>
  </si>
  <si>
    <t>(5) 555-3745</t>
  </si>
  <si>
    <t>ANTON</t>
  </si>
  <si>
    <t>(5) 555-3932</t>
  </si>
  <si>
    <t>AROUT</t>
  </si>
  <si>
    <t>(171) 555-7788</t>
  </si>
  <si>
    <t>(171) 555-6750</t>
  </si>
  <si>
    <t>BERGS</t>
  </si>
  <si>
    <t>Order Administrator</t>
  </si>
  <si>
    <t>0921-12 34 65</t>
  </si>
  <si>
    <t>0921-12 34 67</t>
  </si>
  <si>
    <t>BLAUS</t>
  </si>
  <si>
    <t>0621-08460</t>
  </si>
  <si>
    <t>0621-08924</t>
  </si>
  <si>
    <t>BLONP</t>
  </si>
  <si>
    <t>Marketing Manager</t>
  </si>
  <si>
    <t>88.60.15.31</t>
  </si>
  <si>
    <t>88.60.15.32</t>
  </si>
  <si>
    <t>BOLID</t>
  </si>
  <si>
    <t>(91) 555 22 82</t>
  </si>
  <si>
    <t>(91) 555 91 99</t>
  </si>
  <si>
    <t>BONAP</t>
  </si>
  <si>
    <t>91.24.45.40</t>
  </si>
  <si>
    <t>91.24.45.41</t>
  </si>
  <si>
    <t>BOTTM</t>
  </si>
  <si>
    <t>Accounting Manager</t>
  </si>
  <si>
    <t>(604) 555-4729</t>
  </si>
  <si>
    <t>(604) 555-3745</t>
  </si>
  <si>
    <t>BSBEV</t>
  </si>
  <si>
    <t>(171) 555-1212</t>
  </si>
  <si>
    <t>CACTU</t>
  </si>
  <si>
    <t>Sales Agent</t>
  </si>
  <si>
    <t>(1) 135-5555</t>
  </si>
  <si>
    <t>(1) 135-4892</t>
  </si>
  <si>
    <t>CENTC</t>
  </si>
  <si>
    <t>(5) 555-3392</t>
  </si>
  <si>
    <t>(5) 555-7293</t>
  </si>
  <si>
    <t>CHOPS</t>
  </si>
  <si>
    <t>0452-076545</t>
  </si>
  <si>
    <t>COMMI</t>
  </si>
  <si>
    <t>Sales Associate</t>
  </si>
  <si>
    <t>SP</t>
  </si>
  <si>
    <t>(11) 555-7647</t>
  </si>
  <si>
    <t>CONSH</t>
  </si>
  <si>
    <t>(171) 555-2282</t>
  </si>
  <si>
    <t>(171) 555-9199</t>
  </si>
  <si>
    <t>DRACD</t>
  </si>
  <si>
    <t>0241-039123</t>
  </si>
  <si>
    <t>0241-059428</t>
  </si>
  <si>
    <t>DUMON</t>
  </si>
  <si>
    <t>40.67.88.88</t>
  </si>
  <si>
    <t>40.67.89.89</t>
  </si>
  <si>
    <t>EASTC</t>
  </si>
  <si>
    <t>(171) 555-0297</t>
  </si>
  <si>
    <t>(171) 555-3373</t>
  </si>
  <si>
    <t>ERNSH</t>
  </si>
  <si>
    <t>Sales Manager</t>
  </si>
  <si>
    <t>7675-3425</t>
  </si>
  <si>
    <t>7675-3426</t>
  </si>
  <si>
    <t>FAMIA</t>
  </si>
  <si>
    <t>Marketing Assistant</t>
  </si>
  <si>
    <t>(11) 555-9857</t>
  </si>
  <si>
    <t>(91) 555 94 44</t>
  </si>
  <si>
    <t>(91) 555 55 93</t>
  </si>
  <si>
    <t>FOLIG</t>
  </si>
  <si>
    <t>Assistant Sales Agent</t>
  </si>
  <si>
    <t>20.16.10.16</t>
  </si>
  <si>
    <t>20.16.10.17</t>
  </si>
  <si>
    <t>FOLKO</t>
  </si>
  <si>
    <t>0695-34 67 21</t>
  </si>
  <si>
    <t>FRANK</t>
  </si>
  <si>
    <t>089-0877310</t>
  </si>
  <si>
    <t>089-0877451</t>
  </si>
  <si>
    <t>FRANR</t>
  </si>
  <si>
    <t>40.32.21.21</t>
  </si>
  <si>
    <t>40.32.21.20</t>
  </si>
  <si>
    <t>FRANS</t>
  </si>
  <si>
    <t>011-4988260</t>
  </si>
  <si>
    <t>011-4988261</t>
  </si>
  <si>
    <t>FURIB</t>
  </si>
  <si>
    <t>(1) 354-2534</t>
  </si>
  <si>
    <t>(1) 354-2535</t>
  </si>
  <si>
    <t>GALED</t>
  </si>
  <si>
    <t>(93) 203 4560</t>
  </si>
  <si>
    <t>(93) 203 4561</t>
  </si>
  <si>
    <t>GODOS</t>
  </si>
  <si>
    <t>(95) 555 82 82</t>
  </si>
  <si>
    <t>GOURL</t>
  </si>
  <si>
    <t>(11) 555-9482</t>
  </si>
  <si>
    <t>GREAL</t>
  </si>
  <si>
    <t>OR</t>
  </si>
  <si>
    <t>(503) 555-7555</t>
  </si>
  <si>
    <t>GROSR</t>
  </si>
  <si>
    <t>(2) 283-2951</t>
  </si>
  <si>
    <t>(2) 283-3397</t>
  </si>
  <si>
    <t>HANAR</t>
  </si>
  <si>
    <t>RJ</t>
  </si>
  <si>
    <t>(21) 555-0091</t>
  </si>
  <si>
    <t>(21) 555-8765</t>
  </si>
  <si>
    <t>HILAA</t>
  </si>
  <si>
    <t>(5) 555-1340</t>
  </si>
  <si>
    <t>(5) 555-1948</t>
  </si>
  <si>
    <t>HUNGC</t>
  </si>
  <si>
    <t>(503) 555-6874</t>
  </si>
  <si>
    <t>(503) 555-2376</t>
  </si>
  <si>
    <t>HUNGO</t>
  </si>
  <si>
    <t>2967 542</t>
  </si>
  <si>
    <t>2967 3333</t>
  </si>
  <si>
    <t>ISLAT</t>
  </si>
  <si>
    <t>(198) 555-8888</t>
  </si>
  <si>
    <t>KOENE</t>
  </si>
  <si>
    <t>0555-09876</t>
  </si>
  <si>
    <t>LACOR</t>
  </si>
  <si>
    <t>30.59.84.10</t>
  </si>
  <si>
    <t>30.59.85.11</t>
  </si>
  <si>
    <t>LAMAI</t>
  </si>
  <si>
    <t>61.77.61.10</t>
  </si>
  <si>
    <t>61.77.61.11</t>
  </si>
  <si>
    <t>LAUGB</t>
  </si>
  <si>
    <t>(604) 555-3392</t>
  </si>
  <si>
    <t>(604) 555-7293</t>
  </si>
  <si>
    <t>LAZYK</t>
  </si>
  <si>
    <t>WA</t>
  </si>
  <si>
    <t>(509) 555-7969</t>
  </si>
  <si>
    <t>(509) 555-6221</t>
  </si>
  <si>
    <t>LEHMS</t>
  </si>
  <si>
    <t>069-0245984</t>
  </si>
  <si>
    <t>069-0245874</t>
  </si>
  <si>
    <t>LETSS</t>
  </si>
  <si>
    <t>CA</t>
  </si>
  <si>
    <t>(415) 555-5938</t>
  </si>
  <si>
    <t>LILAS</t>
  </si>
  <si>
    <t>(9) 331-6954</t>
  </si>
  <si>
    <t>(9) 331-7256</t>
  </si>
  <si>
    <t>LINOD</t>
  </si>
  <si>
    <t>(8) 34-56-12</t>
  </si>
  <si>
    <t>(8) 34-93-93</t>
  </si>
  <si>
    <t>LONEP</t>
  </si>
  <si>
    <t>(503) 555-9573</t>
  </si>
  <si>
    <t>(503) 555-9646</t>
  </si>
  <si>
    <t>MAGAA</t>
  </si>
  <si>
    <t>035-640230</t>
  </si>
  <si>
    <t>035-640231</t>
  </si>
  <si>
    <t>MAISD</t>
  </si>
  <si>
    <t>(02) 201 24 67</t>
  </si>
  <si>
    <t>(02) 201 24 68</t>
  </si>
  <si>
    <t>MEREP</t>
  </si>
  <si>
    <t>(514) 555-8054</t>
  </si>
  <si>
    <t>(514) 555-8055</t>
  </si>
  <si>
    <t>MORGK</t>
  </si>
  <si>
    <t>0342-023176</t>
  </si>
  <si>
    <t>NORTS</t>
  </si>
  <si>
    <t>(171) 555-7733</t>
  </si>
  <si>
    <t>(171) 555-2530</t>
  </si>
  <si>
    <t>OCEAN</t>
  </si>
  <si>
    <t>(1) 135-5333</t>
  </si>
  <si>
    <t>(1) 135-5535</t>
  </si>
  <si>
    <t>OLDWO</t>
  </si>
  <si>
    <t>AK</t>
  </si>
  <si>
    <t>(907) 555-7584</t>
  </si>
  <si>
    <t>(907) 555-2880</t>
  </si>
  <si>
    <t>OTTIK</t>
  </si>
  <si>
    <t>0221-0644327</t>
  </si>
  <si>
    <t>0221-0765721</t>
  </si>
  <si>
    <t>PARIS</t>
  </si>
  <si>
    <t>(1) 42.34.22.66</t>
  </si>
  <si>
    <t>(1) 42.34.22.77</t>
  </si>
  <si>
    <t>PERIC</t>
  </si>
  <si>
    <t>(5) 552-3745</t>
  </si>
  <si>
    <t>(5) 545-3745</t>
  </si>
  <si>
    <t>PICCO</t>
  </si>
  <si>
    <t>6562-9722</t>
  </si>
  <si>
    <t>6562-9723</t>
  </si>
  <si>
    <t>PRINI</t>
  </si>
  <si>
    <t>(1) 356-5634</t>
  </si>
  <si>
    <t>QUEDE</t>
  </si>
  <si>
    <t>(21) 555-4252</t>
  </si>
  <si>
    <t>(21) 555-4545</t>
  </si>
  <si>
    <t>QUEEN</t>
  </si>
  <si>
    <t>(11) 555-1189</t>
  </si>
  <si>
    <t>QUICK</t>
  </si>
  <si>
    <t>0372-035188</t>
  </si>
  <si>
    <t>RANCH</t>
  </si>
  <si>
    <t>(1) 123-5555</t>
  </si>
  <si>
    <t>(1) 123-5556</t>
  </si>
  <si>
    <t>RATTC</t>
  </si>
  <si>
    <t>Assistant Sales Representative</t>
  </si>
  <si>
    <t>NM</t>
  </si>
  <si>
    <t>(505) 555-5939</t>
  </si>
  <si>
    <t>(505) 555-3620</t>
  </si>
  <si>
    <t>REGGC</t>
  </si>
  <si>
    <t>0522-556721</t>
  </si>
  <si>
    <t>0522-556722</t>
  </si>
  <si>
    <t>RICAR</t>
  </si>
  <si>
    <t>(21) 555-3412</t>
  </si>
  <si>
    <t>RICSU</t>
  </si>
  <si>
    <t>0897-034214</t>
  </si>
  <si>
    <t>ROMEY</t>
  </si>
  <si>
    <t>(91) 745 6200</t>
  </si>
  <si>
    <t>(91) 745 6210</t>
  </si>
  <si>
    <t>SANTG</t>
  </si>
  <si>
    <t>07-98 92 35</t>
  </si>
  <si>
    <t>07-98 92 47</t>
  </si>
  <si>
    <t>SAVEA</t>
  </si>
  <si>
    <t>ID</t>
  </si>
  <si>
    <t>(208) 555-8097</t>
  </si>
  <si>
    <t>SEVES</t>
  </si>
  <si>
    <t>(171) 555-1717</t>
  </si>
  <si>
    <t>(171) 555-5646</t>
  </si>
  <si>
    <t>SIMOB</t>
  </si>
  <si>
    <t>31 12 34 56</t>
  </si>
  <si>
    <t>31 13 35 57</t>
  </si>
  <si>
    <t>SPECD</t>
  </si>
  <si>
    <t>(1) 47.55.60.10</t>
  </si>
  <si>
    <t>(1) 47.55.60.20</t>
  </si>
  <si>
    <t>SPLIR</t>
  </si>
  <si>
    <t>WY</t>
  </si>
  <si>
    <t>(307) 555-4680</t>
  </si>
  <si>
    <t>(307) 555-6525</t>
  </si>
  <si>
    <t>SUPRD</t>
  </si>
  <si>
    <t>(071) 23 67 22 20</t>
  </si>
  <si>
    <t>(071) 23 67 22 21</t>
  </si>
  <si>
    <t>THEBI</t>
  </si>
  <si>
    <t>(503) 555-3612</t>
  </si>
  <si>
    <t>THECR</t>
  </si>
  <si>
    <t>MT</t>
  </si>
  <si>
    <t>(406) 555-5834</t>
  </si>
  <si>
    <t>(406) 555-8083</t>
  </si>
  <si>
    <t>TOMSP</t>
  </si>
  <si>
    <t>0251-031259</t>
  </si>
  <si>
    <t>0251-035695</t>
  </si>
  <si>
    <t>TORTU</t>
  </si>
  <si>
    <t>(5) 555-2933</t>
  </si>
  <si>
    <t>TRADH</t>
  </si>
  <si>
    <t>(11) 555-2167</t>
  </si>
  <si>
    <t>(11) 555-2168</t>
  </si>
  <si>
    <t>TRAIH</t>
  </si>
  <si>
    <t>(206) 555-8257</t>
  </si>
  <si>
    <t>(206) 555-2174</t>
  </si>
  <si>
    <t>VAFFE</t>
  </si>
  <si>
    <t>86 21 32 43</t>
  </si>
  <si>
    <t>86 22 33 44</t>
  </si>
  <si>
    <t>VICTE</t>
  </si>
  <si>
    <t>78.32.54.86</t>
  </si>
  <si>
    <t>78.32.54.87</t>
  </si>
  <si>
    <t>VINET</t>
  </si>
  <si>
    <t>26.47.15.10</t>
  </si>
  <si>
    <t>26.47.15.11</t>
  </si>
  <si>
    <t>WANDK</t>
  </si>
  <si>
    <t>0711-020361</t>
  </si>
  <si>
    <t>0711-035428</t>
  </si>
  <si>
    <t>WARTH</t>
  </si>
  <si>
    <t>981-443655</t>
  </si>
  <si>
    <t>WELLI</t>
  </si>
  <si>
    <t>(14) 555-8122</t>
  </si>
  <si>
    <t>WHITC</t>
  </si>
  <si>
    <t>(206) 555-4112</t>
  </si>
  <si>
    <t>(206) 555-4115</t>
  </si>
  <si>
    <t>WILMK</t>
  </si>
  <si>
    <t>Owner/Marketing Assistant</t>
  </si>
  <si>
    <t>90-224 8858</t>
  </si>
  <si>
    <t>WOLZA</t>
  </si>
  <si>
    <t>(26) 642-7012</t>
  </si>
  <si>
    <t>Address</t>
  </si>
  <si>
    <t>City</t>
  </si>
  <si>
    <t>Region</t>
  </si>
  <si>
    <t>Phone</t>
  </si>
  <si>
    <t>Fax</t>
  </si>
  <si>
    <t>Company Name</t>
  </si>
  <si>
    <t>Customer ID</t>
  </si>
  <si>
    <t>Contact Name</t>
  </si>
  <si>
    <t>Contact Title</t>
  </si>
  <si>
    <t>Postal Code</t>
  </si>
  <si>
    <t>ShippedDate</t>
  </si>
  <si>
    <t>ShipName</t>
  </si>
  <si>
    <t>OrderID</t>
  </si>
  <si>
    <t>CustomerID</t>
  </si>
  <si>
    <t>OrderDate</t>
  </si>
  <si>
    <t>RequiredDate</t>
  </si>
  <si>
    <t>OrderAmount</t>
  </si>
  <si>
    <t>Alfreds Freddy</t>
  </si>
  <si>
    <t>Anant Rations</t>
  </si>
  <si>
    <t>Antara Torches</t>
  </si>
  <si>
    <t>Arvind Outfits</t>
  </si>
  <si>
    <t>Berglunds Snooby</t>
  </si>
  <si>
    <t>Blanket United</t>
  </si>
  <si>
    <t>Bondel Garrages</t>
  </si>
  <si>
    <t>Bold Collections</t>
  </si>
  <si>
    <t>Bottoms Up</t>
  </si>
  <si>
    <t>Bombay Apparel</t>
  </si>
  <si>
    <t>Best Beverages</t>
  </si>
  <si>
    <t xml:space="preserve">Cactus Comidas </t>
  </si>
  <si>
    <t xml:space="preserve">Centro comercial </t>
  </si>
  <si>
    <t xml:space="preserve">Chop-suey </t>
  </si>
  <si>
    <t>Coco Mineiro</t>
  </si>
  <si>
    <t>Dragon Datas</t>
  </si>
  <si>
    <t>Du drops</t>
  </si>
  <si>
    <t>Familia Arcade</t>
  </si>
  <si>
    <t>FISSA Fabrics</t>
  </si>
  <si>
    <t>Folies garments</t>
  </si>
  <si>
    <t>Folkos</t>
  </si>
  <si>
    <t>Franken sand</t>
  </si>
  <si>
    <t>France resto</t>
  </si>
  <si>
    <t>Fabric Nation</t>
  </si>
  <si>
    <t>Furry italian</t>
  </si>
  <si>
    <t>Galeb bakery</t>
  </si>
  <si>
    <t xml:space="preserve">Godos Cocina </t>
  </si>
  <si>
    <t>Gourmet Lajawab</t>
  </si>
  <si>
    <t>Great Lakes Foods</t>
  </si>
  <si>
    <t>Garrison Restaurant</t>
  </si>
  <si>
    <t>Harini Canes</t>
  </si>
  <si>
    <t>Hilkon Air</t>
  </si>
  <si>
    <t>Hungry Guys</t>
  </si>
  <si>
    <t>Hungama Trading</t>
  </si>
  <si>
    <t>Kone Enterprises</t>
  </si>
  <si>
    <t>Lacar Industries</t>
  </si>
  <si>
    <t>Lama Fashions</t>
  </si>
  <si>
    <t xml:space="preserve">Laughing Bacchus </t>
  </si>
  <si>
    <t>Lazy Kites</t>
  </si>
  <si>
    <t>Lehmanns Markets</t>
  </si>
  <si>
    <t>Lila Supermart</t>
  </si>
  <si>
    <t>Linda Designs</t>
  </si>
  <si>
    <t>Lonesome Restaurant</t>
  </si>
  <si>
    <t>Malad Traders</t>
  </si>
  <si>
    <t>Merry Paillarde</t>
  </si>
  <si>
    <t>Morton Goods</t>
  </si>
  <si>
    <t>North South Hotels</t>
  </si>
  <si>
    <t>Ocean Attiko</t>
  </si>
  <si>
    <t>Old Words</t>
  </si>
  <si>
    <t>Oakwood Furnishings</t>
  </si>
  <si>
    <t>Paris Perfumes</t>
  </si>
  <si>
    <t>Picco Trades</t>
  </si>
  <si>
    <t>Print India</t>
  </si>
  <si>
    <t>Queue Linen</t>
  </si>
  <si>
    <t>Queen Seatings</t>
  </si>
  <si>
    <t>Rattlesnake Grocery</t>
  </si>
  <si>
    <t>Rewari Grocers</t>
  </si>
  <si>
    <t>Romeo Yeasts</t>
  </si>
  <si>
    <t>Santa Gourmet</t>
  </si>
  <si>
    <t>Seva Diagnostics</t>
  </si>
  <si>
    <t>Social Café</t>
  </si>
  <si>
    <t>Split Seconds</t>
  </si>
  <si>
    <t>Supreme Finishings</t>
  </si>
  <si>
    <t>Toms Specialities</t>
  </si>
  <si>
    <t>Traders Den</t>
  </si>
  <si>
    <t>Trail's Provisioners</t>
  </si>
  <si>
    <t>Venkat Café</t>
  </si>
  <si>
    <t>Victor Provisions</t>
  </si>
  <si>
    <t>Vincent Decorators</t>
  </si>
  <si>
    <t>Wonderworld</t>
  </si>
  <si>
    <t>Wazir Collections</t>
  </si>
  <si>
    <t>Wellington Imports</t>
  </si>
  <si>
    <t>West Zen</t>
  </si>
  <si>
    <t>R Farida</t>
  </si>
  <si>
    <t>Vikram Rana</t>
  </si>
  <si>
    <t xml:space="preserve">Ishan Banerjee </t>
  </si>
  <si>
    <t>Punith R</t>
  </si>
  <si>
    <t>M Elizabeth</t>
  </si>
  <si>
    <t>Batul Bhopalwala</t>
  </si>
  <si>
    <t>Justus Varghese</t>
  </si>
  <si>
    <t>Pradyumna Champati</t>
  </si>
  <si>
    <t>Soumyakanta Mishra</t>
  </si>
  <si>
    <t>Satyam Babu</t>
  </si>
  <si>
    <t>Krishna Kumar</t>
  </si>
  <si>
    <t>Satnatan Agarwal</t>
  </si>
  <si>
    <t>Shreyash Kapoor</t>
  </si>
  <si>
    <t>Pallavi Anand</t>
  </si>
  <si>
    <t>Sasidhar Reddy</t>
  </si>
  <si>
    <t>Bala Krishna Tanneru</t>
  </si>
  <si>
    <t>Ajjay Upadhyaya</t>
  </si>
  <si>
    <t>Ujjwal Bandyopadhyay</t>
  </si>
  <si>
    <t>Bibhuti Bhusan Singh</t>
  </si>
  <si>
    <t>Amit Sharma</t>
  </si>
  <si>
    <t>R Lakshmi</t>
  </si>
  <si>
    <t>Sandeep</t>
  </si>
  <si>
    <t>Ravi Shankar B.R</t>
  </si>
  <si>
    <t>Sreedharbabu Nalluri</t>
  </si>
  <si>
    <t>Rohit Uttam Bhoslae</t>
  </si>
  <si>
    <t>Rushikesh</t>
  </si>
  <si>
    <t>Kiran Aithal A</t>
  </si>
  <si>
    <t>Robert Bhandari</t>
  </si>
  <si>
    <t>Rahul Deokar</t>
  </si>
  <si>
    <t>Siddhesh Nadkarni</t>
  </si>
  <si>
    <t>Lakshmi Tanuja M</t>
  </si>
  <si>
    <t>S R Krishnamoorthy</t>
  </si>
  <si>
    <t>Kasturimalpekar</t>
  </si>
  <si>
    <t>Awadhesh Kumar Thakur</t>
  </si>
  <si>
    <t>Madhusudan</t>
  </si>
  <si>
    <t>Harish Rawat</t>
  </si>
  <si>
    <t>Swarnava Chattopadhyay</t>
  </si>
  <si>
    <t>Abhijit Dutta</t>
  </si>
  <si>
    <t>Muthyam</t>
  </si>
  <si>
    <t>Bitanjoy Saha</t>
  </si>
  <si>
    <t>Shailesh Jani</t>
  </si>
  <si>
    <t>Aarti Maharana</t>
  </si>
  <si>
    <t>Mayank Agarwal</t>
  </si>
  <si>
    <t>Basweshwar Rawale</t>
  </si>
  <si>
    <t>Sateesh Vaswani</t>
  </si>
  <si>
    <t>Ravi Kumar Choudhary</t>
  </si>
  <si>
    <t>Ravinder Singh</t>
  </si>
  <si>
    <t>Akash Singh</t>
  </si>
  <si>
    <t>Jafar Hashmi</t>
  </si>
  <si>
    <t>Bora Khagen Rao</t>
  </si>
  <si>
    <t>Ganesh</t>
  </si>
  <si>
    <t>Dawit Melak</t>
  </si>
  <si>
    <t>Babu Dnyaneshwar Pawar</t>
  </si>
  <si>
    <t>Alok Mishra</t>
  </si>
  <si>
    <t>Tulsidas Bhalavi</t>
  </si>
  <si>
    <t>Pranesh Ravula</t>
  </si>
  <si>
    <t>Vijaysundar</t>
  </si>
  <si>
    <t xml:space="preserve">Santosh Kumar </t>
  </si>
  <si>
    <t>Pikloo Roy</t>
  </si>
  <si>
    <t>Paul Brown</t>
  </si>
  <si>
    <t>Assam</t>
  </si>
  <si>
    <t>Kerela</t>
  </si>
  <si>
    <t xml:space="preserve">Bihar </t>
  </si>
  <si>
    <t>West Bengal</t>
  </si>
  <si>
    <t>Chattisgarh</t>
  </si>
  <si>
    <t>Delhi</t>
  </si>
  <si>
    <t>State</t>
  </si>
  <si>
    <t>Tripura</t>
  </si>
  <si>
    <t>Maharashtra</t>
  </si>
  <si>
    <t>Gujarat</t>
  </si>
  <si>
    <t>Karnataka</t>
  </si>
  <si>
    <t>Telengana</t>
  </si>
  <si>
    <t>Tamil Nadu</t>
  </si>
  <si>
    <t>Mizoram</t>
  </si>
  <si>
    <t>P Lalengliana</t>
  </si>
  <si>
    <t>Odisha</t>
  </si>
  <si>
    <t>Jharkhand</t>
  </si>
  <si>
    <t>Meghalaya</t>
  </si>
  <si>
    <t>Punjab</t>
  </si>
  <si>
    <t>Rajasthan</t>
  </si>
  <si>
    <t>Uttar Pradesh</t>
  </si>
  <si>
    <t>Haryana</t>
  </si>
  <si>
    <t>Guwahati</t>
  </si>
  <si>
    <t>Thiruvananthapuram</t>
  </si>
  <si>
    <t>Kochi</t>
  </si>
  <si>
    <t>Patna</t>
  </si>
  <si>
    <t>Kolkata</t>
  </si>
  <si>
    <t>Durgapur</t>
  </si>
  <si>
    <t>Raipur</t>
  </si>
  <si>
    <t>Bilaspur</t>
  </si>
  <si>
    <t>Ahmedabad</t>
  </si>
  <si>
    <t>Surat</t>
  </si>
  <si>
    <t>Rajkot</t>
  </si>
  <si>
    <t>Faridabad</t>
  </si>
  <si>
    <t>Gurugram</t>
  </si>
  <si>
    <t>Dhanbad</t>
  </si>
  <si>
    <t>Ranchi</t>
  </si>
  <si>
    <t>Jamshedpur</t>
  </si>
  <si>
    <t>Bangalore</t>
  </si>
  <si>
    <t>Mumbai</t>
  </si>
  <si>
    <t>Pune</t>
  </si>
  <si>
    <t>Nashik</t>
  </si>
  <si>
    <t>Amravati</t>
  </si>
  <si>
    <t>Kolhapur</t>
  </si>
  <si>
    <t>Shillong</t>
  </si>
  <si>
    <t>Aizwal</t>
  </si>
  <si>
    <t>Bhubaneswar</t>
  </si>
  <si>
    <t>Rourkela</t>
  </si>
  <si>
    <t>Ludhiana</t>
  </si>
  <si>
    <t>Jalandhar</t>
  </si>
  <si>
    <t>Jaipur</t>
  </si>
  <si>
    <t>Jodhpur</t>
  </si>
  <si>
    <t>Chennai</t>
  </si>
  <si>
    <t>Hyderabad</t>
  </si>
  <si>
    <t>Warangal</t>
  </si>
  <si>
    <t>Agartala</t>
  </si>
  <si>
    <t>Kailasahar</t>
  </si>
  <si>
    <t>Lucknow</t>
  </si>
  <si>
    <t>Prayagraj</t>
  </si>
  <si>
    <t>Agra</t>
  </si>
  <si>
    <t>Siliguri</t>
  </si>
  <si>
    <t>985 Anandanagar Road</t>
  </si>
  <si>
    <t>35/H/FU Anandanagar</t>
  </si>
  <si>
    <t>New Patlipura Colony</t>
  </si>
  <si>
    <t>Airport Road</t>
  </si>
  <si>
    <t>Airport</t>
  </si>
  <si>
    <t>Janta Colony</t>
  </si>
  <si>
    <t>Byron Bazar</t>
  </si>
  <si>
    <t>NC</t>
  </si>
  <si>
    <t>Chana Market, Karol Bagh</t>
  </si>
  <si>
    <t>Aggarwal Presteige, Pitampura</t>
  </si>
  <si>
    <t>Jiviraj Park</t>
  </si>
  <si>
    <t>Satyamev Arcade, Chandkheda</t>
  </si>
  <si>
    <t>Sarkhej, Sola</t>
  </si>
  <si>
    <t>Sardar Patel Ringh Road</t>
  </si>
  <si>
    <t>Ring Rd, Udhana Darwaja, Aman Nagar</t>
  </si>
  <si>
    <t xml:space="preserve">Gopal Nagar Society, Gita Nagar, Parvat Patiya. </t>
  </si>
  <si>
    <t xml:space="preserve">Nagrik Bank Building, Dr Yagnik Rd. </t>
  </si>
  <si>
    <t xml:space="preserve">Jubilee Chowk, Jawahar Rd, Lohana Para. </t>
  </si>
  <si>
    <t xml:space="preserve">Sector 16 Rd Sector-16, Nirman Kunj, Daulatabad Village.  </t>
  </si>
  <si>
    <t xml:space="preserve">NH8 Sector 83 Gurugram. </t>
  </si>
  <si>
    <t xml:space="preserve">Gol Chakkar, Carterpuri Rd, Block F, Palam Vihar. </t>
  </si>
  <si>
    <t xml:space="preserve">Sector 90, Gurugram, Haryana </t>
  </si>
  <si>
    <t>DLF</t>
  </si>
  <si>
    <t>APK Cross</t>
  </si>
  <si>
    <t>S90</t>
  </si>
  <si>
    <t>MN Park</t>
  </si>
  <si>
    <t xml:space="preserve">Bekarbandh, Kasturba Nagar, Dhanbad. </t>
  </si>
  <si>
    <t>Nagra Toli, Ranchi, Jharkhand.</t>
  </si>
  <si>
    <t>P.H.E.D Colony, Booty More Rd, Jai Prakash Nagar, Ranchi.</t>
  </si>
  <si>
    <t xml:space="preserve">Jc Tower, Main Road, Opp Ranchi Club, Hindpiri. </t>
  </si>
  <si>
    <t xml:space="preserve">Tata Kandra Main Road, Ashiana More.Adityapur. </t>
  </si>
  <si>
    <t xml:space="preserve">Kasturba Rd, Ambedkar Veedhi.  </t>
  </si>
  <si>
    <t>High Court</t>
  </si>
  <si>
    <t xml:space="preserve">High Ct Rd, Marine Drive, Kochi. </t>
  </si>
  <si>
    <t>DLH Park, Swami Vivekananda Rd, Sunder Nagar, Goregaon West, Mumbai.</t>
  </si>
  <si>
    <t xml:space="preserve">Vidhyapeeth Road, Ganeshkhind Road, Pune. </t>
  </si>
  <si>
    <t xml:space="preserve">Pashan Sus Road. Near Mumbai-Pune Bypass. </t>
  </si>
  <si>
    <t xml:space="preserve">Mumbai - Agra National Hwy, MIDC Ambad, Nashik. </t>
  </si>
  <si>
    <t xml:space="preserve">Swaminarayan Nagar, New Adgaon Naka, Panchavati, Nashik.  </t>
  </si>
  <si>
    <t xml:space="preserve">Vir Tanaji Nagar, Shivneri Colony, Amravati. </t>
  </si>
  <si>
    <t xml:space="preserve">Kasaba Bawada Main Rd,Ramanmala, Kolhapur.  </t>
  </si>
  <si>
    <t xml:space="preserve">Symphony IT Park, Chandivali, Powai, Mumbai. </t>
  </si>
  <si>
    <t>Mary Church, Juhu Chowpatty Marg, Sector 10A, Vashi, Navi Mumbai.</t>
  </si>
  <si>
    <t>Vikas College Rd, Kannamwar Nagar II, Vikhroli, Mumbai.</t>
  </si>
  <si>
    <t>Mawlai Phudmuri, Mawlai Mawdatbaki</t>
  </si>
  <si>
    <t>Lower, Lachumiere, Shillong</t>
  </si>
  <si>
    <t>Bill Pekna Bul, Laipuitlang Rd, Laipuitlang, Aizawl</t>
  </si>
  <si>
    <t>Sainik School Rd, Unit 15, Gajapati Nagar, Bhubaneswar.</t>
  </si>
  <si>
    <t xml:space="preserve">Sijua, Patrapada, Bhubaneswar. </t>
  </si>
  <si>
    <t>Kalinga Vihar, Chend Colony, Rourkela</t>
  </si>
  <si>
    <t>SBS Nagar, Jagjit Nagar, Sarabha Nagar, Ludhiana.</t>
  </si>
  <si>
    <t>Cool Road, Near All India Radio, Jawahar Nagar, Jalandhar</t>
  </si>
  <si>
    <t>ASHOK UDHYAN, Pal Rd, Jodhpur
Crowther Way</t>
  </si>
  <si>
    <t>New Sanganer Road. Roop Vihar, Goverdhan Colony, Vivek Vihar, Sodala, Jaipur</t>
  </si>
  <si>
    <t>Metro Pillar 91</t>
  </si>
  <si>
    <t>Bhagwati Nagar 1st Rd, Adarsh Krishna Nagar.</t>
  </si>
  <si>
    <t xml:space="preserve">Mahesh Nagar, 80 Feet Road. </t>
  </si>
  <si>
    <t xml:space="preserve">Shyam Nagar, Jaipur, Rajasthan </t>
  </si>
  <si>
    <t>Poonamallee High Rd, Amaravathi Nagar.</t>
  </si>
  <si>
    <t>9, Vellala St, Ganga Nagar.</t>
  </si>
  <si>
    <t>Shanthi Colony, Anna Nagar</t>
  </si>
  <si>
    <t>Red Hills Road, Bharathi Nagar</t>
  </si>
  <si>
    <t>Mogappair, Chennai</t>
  </si>
  <si>
    <t>Charminar Road, Shah Ali Banda</t>
  </si>
  <si>
    <t>Capital Complex Extension P.O - New Secretariat, Agartala.</t>
  </si>
  <si>
    <t xml:space="preserve">D. K road, Kailashahar, Tripura </t>
  </si>
  <si>
    <t>Faizabad Rd, Vikrant Khand</t>
  </si>
  <si>
    <t>Kanpur - Lucknow Rd, Ram Nagar, Alambagh</t>
  </si>
  <si>
    <t>Raibareli Rd,Pushpendra Nagar</t>
  </si>
  <si>
    <t>Dwarika Puri, Old Katra, Prayagraj</t>
  </si>
  <si>
    <t>Mitra Nagar, Devprayagam Colony</t>
  </si>
  <si>
    <t>Madhwapur, Bairhana</t>
  </si>
  <si>
    <t>Hashimpur Rd, Prayagraj</t>
  </si>
  <si>
    <t>Rajpur Chungi, Grand Parade Rd, Vibhav Nagar</t>
  </si>
  <si>
    <t>Sector 1, Bodla, Lohamandi</t>
  </si>
  <si>
    <t>M.K. Puram, Shastri Puram Rd</t>
  </si>
  <si>
    <t>DG Block(Newtown), Action Area I</t>
  </si>
  <si>
    <t>JC Block Lane,  Broadway Road Salt Lake, Sector III</t>
  </si>
  <si>
    <t>Pancha Sayar Rd, Sahid Smirity Colony</t>
  </si>
  <si>
    <t>Hill Cart Rd, Ward 3, Pradhan Nagar</t>
  </si>
  <si>
    <t>Mangal Pandey Rd, Khalpara</t>
  </si>
  <si>
    <t>City Center, Gandhi More, Commercial Area, Durgapur</t>
  </si>
  <si>
    <t>Tagore Avenue, A-Zone, Durgapur</t>
  </si>
  <si>
    <t>76B,Nehru Chowk</t>
  </si>
  <si>
    <t>HKM</t>
  </si>
  <si>
    <t xml:space="preserve">2132/5787 Range Hills, Pune, Maharashtra </t>
  </si>
  <si>
    <t xml:space="preserve">35 Jan Path, Shastri Nagar, Jaipur. </t>
  </si>
  <si>
    <t xml:space="preserve">LMS Vellayambalam Rd, B32 Kanaka Nagar, Nanthancodu. </t>
  </si>
  <si>
    <t>99 Uttorayon Twp, Siliguri</t>
  </si>
  <si>
    <t>SR</t>
  </si>
  <si>
    <t xml:space="preserve">REGENT PLAZZA, 88 Guru Ram Pavan Bhumi, Dindoli. </t>
  </si>
  <si>
    <t>11B, Desaipet Rd, Vasavi Colony, Kothawada</t>
  </si>
  <si>
    <t>658 Dr. U. N. Brahmachari Street</t>
  </si>
  <si>
    <t>71, Nikol Gam Road</t>
  </si>
  <si>
    <t>Rawatpur 55, Near Airport</t>
  </si>
  <si>
    <t xml:space="preserve">A35 Santosh Nagar, Hyderabad, Telangana </t>
  </si>
  <si>
    <t xml:space="preserve">Block H, Madhav Shopping Center, Devadh Canal Road. </t>
  </si>
  <si>
    <t>Flat 5FG, Gaurav Appt. Anandanagar</t>
  </si>
  <si>
    <t>187 Nabiullah Road Opp. SSP Office, River Bank Colony</t>
  </si>
  <si>
    <t xml:space="preserve">90 Nirman Nagar, Brijlalpura, Jaipur. </t>
  </si>
  <si>
    <t>93/5A, Bailey Road</t>
  </si>
  <si>
    <t>75 Bodla Rd, Freinds Colony, Bhogipura</t>
  </si>
  <si>
    <t>STATE</t>
  </si>
  <si>
    <t>Sushanta Baruah</t>
  </si>
  <si>
    <t>Alok Prakash</t>
  </si>
  <si>
    <t>Veeresh Pandit</t>
  </si>
  <si>
    <t>Abhimanyu Kumar</t>
  </si>
  <si>
    <t>Eshita Roy</t>
  </si>
  <si>
    <t>Md Ikbal Kazi</t>
  </si>
  <si>
    <t>Cheerla Srikala</t>
  </si>
  <si>
    <t>Sajith Ms</t>
  </si>
  <si>
    <t>Kisore Asthana</t>
  </si>
  <si>
    <t>Sachin Sharma</t>
  </si>
  <si>
    <t>Praveen Rao</t>
  </si>
  <si>
    <t>N Bharath</t>
  </si>
  <si>
    <t>C R Chatterjee</t>
  </si>
  <si>
    <t>Singaluri Venkatesh</t>
  </si>
  <si>
    <t>Durga Prasad</t>
  </si>
  <si>
    <t>Dashrath Ji Zala</t>
  </si>
  <si>
    <t>Oinam Sonam</t>
  </si>
  <si>
    <t>Malaichamy</t>
  </si>
  <si>
    <t>G.M.Mahendra</t>
  </si>
  <si>
    <t>Manish Kumawat</t>
  </si>
  <si>
    <t>G. Durga Prasad Reddy</t>
  </si>
  <si>
    <t>Rk Meena</t>
  </si>
  <si>
    <t>Sambhu Lal Agrawal</t>
  </si>
  <si>
    <t>Avinash Krishna Bagdi</t>
  </si>
  <si>
    <t>Pankaj Srivastava</t>
  </si>
  <si>
    <t>Hemant Singh Bajeli</t>
  </si>
  <si>
    <t>Raju Mitra</t>
  </si>
  <si>
    <t>Kashinath Modi</t>
  </si>
  <si>
    <t>Mayank Pandey</t>
  </si>
  <si>
    <t>Zubin Khan</t>
  </si>
  <si>
    <t>FISSA</t>
  </si>
  <si>
    <t xml:space="preserve">Shipper Name </t>
  </si>
  <si>
    <t>Speed Express</t>
  </si>
  <si>
    <t>Natioanl Package</t>
  </si>
  <si>
    <t>Inland Shipping</t>
  </si>
  <si>
    <t>Order Month</t>
  </si>
  <si>
    <t>COMPANY NAME</t>
  </si>
  <si>
    <t>Row Labels</t>
  </si>
  <si>
    <t>Grand Total</t>
  </si>
  <si>
    <t>Sum of OrderAmount</t>
  </si>
  <si>
    <t>2016</t>
  </si>
  <si>
    <t>2017</t>
  </si>
  <si>
    <t>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</si>
</sst>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mmm\-yyyy"/>
    <numFmt numFmtId="166" formatCode="&quot;₹&quot;\ #,##0.00"/>
  </numFmts>
  <fonts count="10" x14ac:knownFonts="1">
    <font>
      <sz val="11"/>
      <color theme="1"/>
      <name val="Calibri"/>
      <family val="2"/>
      <scheme val="minor"/>
    </font>
    <font>
      <sz val="11"/>
      <color theme="1"/>
      <name val="Calibri"/>
      <family val="2"/>
      <scheme val="minor"/>
    </font>
    <font>
      <sz val="10"/>
      <name val="Arial"/>
      <family val="2"/>
    </font>
    <font>
      <sz val="11"/>
      <color theme="1"/>
      <name val="Calibri"/>
      <family val="2"/>
      <scheme val="minor"/>
    </font>
    <font>
      <sz val="8"/>
      <name val="Calibri"/>
      <family val="2"/>
      <scheme val="minor"/>
    </font>
    <font>
      <sz val="10"/>
      <color theme="1"/>
      <name val="Times New Roman"/>
      <family val="1"/>
    </font>
    <font>
      <sz val="10"/>
      <color theme="0"/>
      <name val="Times New Roman"/>
      <family val="1"/>
    </font>
    <font>
      <b/>
      <sz val="10"/>
      <color theme="0"/>
      <name val="Times New Roman"/>
      <family val="1"/>
    </font>
    <font>
      <b/>
      <sz val="10"/>
      <color theme="1"/>
      <name val="Times New Roman"/>
      <family val="1"/>
    </font>
    <font>
      <sz val="10"/>
      <name val="Times New Roman"/>
      <family val="1"/>
    </font>
  </fonts>
  <fills count="3">
    <fill>
      <patternFill patternType="none"/>
    </fill>
    <fill>
      <patternFill patternType="gray125"/>
    </fill>
    <fill>
      <patternFill patternType="solid">
        <fgColor theme="9" tint="-0.249977111117893"/>
        <bgColor indexed="64"/>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9">
    <xf numFmtId="0" fontId="0" fillId="0" borderId="0" xfId="0"/>
    <xf numFmtId="14" fontId="0" fillId="0" borderId="0" xfId="0" applyNumberFormat="1"/>
    <xf numFmtId="0" fontId="3" fillId="0" borderId="0" xfId="0" applyFont="1"/>
    <xf numFmtId="0" fontId="0" fillId="0" borderId="0" xfId="0" applyFill="1"/>
    <xf numFmtId="0" fontId="0" fillId="0" borderId="0" xfId="0" applyFill="1" applyBorder="1"/>
    <xf numFmtId="0" fontId="0" fillId="0" borderId="0" xfId="0" applyFill="1" applyBorder="1" applyAlignment="1">
      <alignment horizontal="left"/>
    </xf>
    <xf numFmtId="14" fontId="0" fillId="0" borderId="0" xfId="0" applyNumberFormat="1" applyFill="1"/>
    <xf numFmtId="0" fontId="0" fillId="0" borderId="0" xfId="0" applyFont="1" applyFill="1"/>
    <xf numFmtId="0" fontId="0" fillId="0" borderId="0" xfId="0" pivotButton="1"/>
    <xf numFmtId="0" fontId="0" fillId="0" borderId="0" xfId="0" applyAlignment="1">
      <alignment horizontal="left"/>
    </xf>
    <xf numFmtId="166" fontId="0" fillId="0" borderId="0" xfId="0" applyNumberFormat="1"/>
    <xf numFmtId="166" fontId="0" fillId="0" borderId="0" xfId="0" applyNumberFormat="1" applyFill="1"/>
    <xf numFmtId="0" fontId="5" fillId="0" borderId="0" xfId="0" applyFont="1"/>
    <xf numFmtId="0" fontId="6" fillId="0" borderId="0" xfId="0" applyFont="1"/>
    <xf numFmtId="165" fontId="5" fillId="0" borderId="0" xfId="0" applyNumberFormat="1" applyFont="1" applyAlignment="1">
      <alignment horizontal="left"/>
    </xf>
    <xf numFmtId="0" fontId="8" fillId="0" borderId="0" xfId="0" applyFont="1" applyAlignment="1">
      <alignment horizontal="center"/>
    </xf>
    <xf numFmtId="0" fontId="7" fillId="2" borderId="1" xfId="0" applyFont="1" applyFill="1" applyBorder="1"/>
    <xf numFmtId="0" fontId="7" fillId="2" borderId="2" xfId="0" applyFont="1" applyFill="1" applyBorder="1"/>
    <xf numFmtId="0" fontId="7" fillId="2" borderId="3" xfId="0" applyFont="1" applyFill="1" applyBorder="1"/>
    <xf numFmtId="0" fontId="5" fillId="0" borderId="0" xfId="0" applyFont="1" applyBorder="1"/>
    <xf numFmtId="0" fontId="5" fillId="0" borderId="0" xfId="0" applyFont="1" applyFill="1"/>
    <xf numFmtId="0" fontId="5" fillId="0" borderId="0" xfId="0" applyFont="1" applyAlignment="1">
      <alignment horizontal="center"/>
    </xf>
    <xf numFmtId="0" fontId="5" fillId="0" borderId="0" xfId="0" applyFont="1" applyAlignment="1"/>
    <xf numFmtId="14" fontId="5" fillId="0" borderId="0" xfId="0" applyNumberFormat="1" applyFont="1" applyFill="1"/>
    <xf numFmtId="0" fontId="5" fillId="0" borderId="6" xfId="0" applyFont="1" applyBorder="1"/>
    <xf numFmtId="0" fontId="7" fillId="2" borderId="6" xfId="0" applyFont="1" applyFill="1" applyBorder="1"/>
    <xf numFmtId="0" fontId="9" fillId="0" borderId="6" xfId="0" applyFont="1" applyBorder="1"/>
    <xf numFmtId="166" fontId="5" fillId="0" borderId="6" xfId="1" applyNumberFormat="1" applyFont="1" applyBorder="1"/>
    <xf numFmtId="14" fontId="5" fillId="0" borderId="6" xfId="0" applyNumberFormat="1" applyFont="1" applyBorder="1" applyAlignment="1">
      <alignment horizontal="right"/>
    </xf>
    <xf numFmtId="0" fontId="5" fillId="0" borderId="6" xfId="0" applyNumberFormat="1" applyFont="1" applyBorder="1"/>
    <xf numFmtId="0" fontId="7" fillId="2" borderId="7" xfId="0" applyFont="1" applyFill="1" applyBorder="1" applyAlignment="1">
      <alignment horizontal="center"/>
    </xf>
    <xf numFmtId="0" fontId="7" fillId="2" borderId="4" xfId="0" applyFont="1" applyFill="1" applyBorder="1" applyAlignment="1">
      <alignment horizontal="center"/>
    </xf>
    <xf numFmtId="0" fontId="7" fillId="2" borderId="8" xfId="0" applyFont="1" applyFill="1" applyBorder="1" applyAlignment="1">
      <alignment horizontal="center"/>
    </xf>
    <xf numFmtId="0" fontId="8" fillId="0" borderId="6" xfId="0" applyFont="1" applyBorder="1" applyAlignment="1" applyProtection="1">
      <alignment horizontal="center"/>
      <protection locked="0"/>
    </xf>
    <xf numFmtId="0" fontId="5" fillId="0" borderId="7" xfId="0" applyFont="1" applyBorder="1" applyAlignment="1">
      <alignment horizontal="left"/>
    </xf>
    <xf numFmtId="0" fontId="5" fillId="0" borderId="4" xfId="0" applyFont="1" applyBorder="1" applyAlignment="1">
      <alignment horizontal="left"/>
    </xf>
    <xf numFmtId="0" fontId="5" fillId="0" borderId="8" xfId="0" applyFont="1" applyBorder="1" applyAlignment="1">
      <alignment horizontal="left"/>
    </xf>
    <xf numFmtId="0" fontId="7" fillId="2" borderId="5" xfId="0" applyFont="1" applyFill="1" applyBorder="1" applyAlignment="1">
      <alignment horizontal="center"/>
    </xf>
    <xf numFmtId="0" fontId="7" fillId="2" borderId="0" xfId="0" applyFont="1" applyFill="1" applyBorder="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23">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dd/mm/yyyy"/>
      <fill>
        <patternFill patternType="none">
          <fgColor indexed="64"/>
          <bgColor indexed="65"/>
        </patternFill>
      </fill>
    </dxf>
    <dxf>
      <numFmt numFmtId="19" formatCode="dd/mm/yyyy"/>
      <fill>
        <patternFill patternType="none">
          <fgColor indexed="64"/>
          <bgColor indexed="65"/>
        </patternFill>
      </fill>
    </dxf>
    <dxf>
      <numFmt numFmtId="19" formatCode="dd/mm/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6" formatCode="&quot;₹&quot;\ #,##0.00"/>
    </dxf>
    <dxf>
      <numFmt numFmtId="166" formatCode="&quot;₹&quot;\ #,##0.0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[Customer+Orders.xlsm]Yearly_Order_Pivot!Yearly_Order_Pivot_Table</c:name>
    <c:fmtId val="10"/>
  </c:pivotSource>
  <c:chart>
    <c:title>
      <c:tx>
        <c:rich>
          <a:bodyPr rot="0" spcFirstLastPara="1" vertOverflow="ellipsis" vert="horz" wrap="square" anchor="ctr" anchorCtr="1"/>
          <a:lstStyle/>
          <a:p>
            <a:pPr>
              <a:defRPr b="0" i="0" u="none" strike="noStrike" kern="1200" baseline="0">
                <a:solidFill>
                  <a:schemeClr val="bg1"/>
                </a:solidFill>
                <a:effectLst/>
                <a:latin typeface="+mn-lt"/>
                <a:ea typeface="+mn-ea"/>
                <a:cs typeface="+mn-cs"/>
              </a:defRPr>
            </a:pPr>
            <a:r>
              <a:rPr lang="en-IN" sz="1050">
                <a:latin typeface="Times New Roman" panose="02020603050405020304" pitchFamily="18" charset="0"/>
                <a:cs typeface="Times New Roman" panose="02020603050405020304" pitchFamily="18" charset="0"/>
              </a:rPr>
              <a:t>Total Amount</a:t>
            </a:r>
          </a:p>
        </c:rich>
      </c:tx>
      <c:overlay val="0"/>
      <c:spPr>
        <a:noFill/>
        <a:ln>
          <a:noFill/>
        </a:ln>
        <a:effectLst/>
      </c:spPr>
      <c:txPr>
        <a:bodyPr rot="0" spcFirstLastPara="1" vertOverflow="ellipsis" vert="horz" wrap="square" anchor="ctr" anchorCtr="1"/>
        <a:lstStyle/>
        <a:p>
          <a:pPr>
            <a:defRPr b="0" i="0" u="none" strike="noStrike" kern="1200" baseline="0">
              <a:solidFill>
                <a:schemeClr val="bg1"/>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Yearly_Order_Pivot!$B$3</c:f>
              <c:strCache>
                <c:ptCount val="1"/>
                <c:pt idx="0">
                  <c:v>Total</c:v>
                </c:pt>
              </c:strCache>
            </c:strRef>
          </c:tx>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Yearly_Order_Pivot!$A$4:$A$7</c:f>
              <c:strCache>
                <c:ptCount val="3"/>
                <c:pt idx="0">
                  <c:v>2016</c:v>
                </c:pt>
                <c:pt idx="1">
                  <c:v>2017</c:v>
                </c:pt>
                <c:pt idx="2">
                  <c:v>2018</c:v>
                </c:pt>
              </c:strCache>
            </c:strRef>
          </c:cat>
          <c:val>
            <c:numRef>
              <c:f>Yearly_Order_Pivot!$B$4:$B$7</c:f>
              <c:numCache>
                <c:formatCode>"₹"\ #,##0.00</c:formatCode>
                <c:ptCount val="3"/>
                <c:pt idx="0">
                  <c:v>110</c:v>
                </c:pt>
                <c:pt idx="1">
                  <c:v>940.45</c:v>
                </c:pt>
                <c:pt idx="2">
                  <c:v>292.14999999999998</c:v>
                </c:pt>
              </c:numCache>
            </c:numRef>
          </c:val>
          <c:extLst>
            <c:ext xmlns:c16="http://schemas.microsoft.com/office/drawing/2014/chart" uri="{C3380CC4-5D6E-409C-BE32-E72D297353CC}">
              <c16:uniqueId val="{00000001-BD01-4397-B121-32CC3B35BF69}"/>
            </c:ext>
          </c:extLst>
        </c:ser>
        <c:dLbls>
          <c:dLblPos val="inEnd"/>
          <c:showLegendKey val="0"/>
          <c:showVal val="1"/>
          <c:showCatName val="0"/>
          <c:showSerName val="0"/>
          <c:showPercent val="0"/>
          <c:showBubbleSize val="0"/>
        </c:dLbls>
        <c:gapWidth val="41"/>
        <c:axId val="1742502143"/>
        <c:axId val="1742497823"/>
      </c:barChart>
      <c:catAx>
        <c:axId val="17425021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effectLst/>
                <a:latin typeface="+mn-lt"/>
                <a:ea typeface="+mn-ea"/>
                <a:cs typeface="+mn-cs"/>
              </a:defRPr>
            </a:pPr>
            <a:endParaRPr lang="en-US"/>
          </a:p>
        </c:txPr>
        <c:crossAx val="1742497823"/>
        <c:crosses val="autoZero"/>
        <c:auto val="1"/>
        <c:lblAlgn val="ctr"/>
        <c:lblOffset val="100"/>
        <c:noMultiLvlLbl val="0"/>
      </c:catAx>
      <c:valAx>
        <c:axId val="1742497823"/>
        <c:scaling>
          <c:orientation val="minMax"/>
        </c:scaling>
        <c:delete val="1"/>
        <c:axPos val="l"/>
        <c:numFmt formatCode="&quot;₹&quot;\ #,##0.00" sourceLinked="1"/>
        <c:majorTickMark val="none"/>
        <c:minorTickMark val="none"/>
        <c:tickLblPos val="nextTo"/>
        <c:crossAx val="17425021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85000"/>
        <a:lumOff val="15000"/>
      </a:schemeClr>
    </a:solidFill>
    <a:ln w="952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7</xdr:col>
      <xdr:colOff>948417</xdr:colOff>
      <xdr:row>0</xdr:row>
      <xdr:rowOff>171450</xdr:rowOff>
    </xdr:from>
    <xdr:to>
      <xdr:col>12</xdr:col>
      <xdr:colOff>884917</xdr:colOff>
      <xdr:row>9</xdr:row>
      <xdr:rowOff>146050</xdr:rowOff>
    </xdr:to>
    <xdr:graphicFrame macro="">
      <xdr:nvGraphicFramePr>
        <xdr:cNvPr id="3" name="Chart 2">
          <a:extLst>
            <a:ext uri="{FF2B5EF4-FFF2-40B4-BE49-F238E27FC236}">
              <a16:creationId xmlns:a16="http://schemas.microsoft.com/office/drawing/2014/main" id="{349564F2-53DD-B82C-EB53-2C7220E249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69850</xdr:colOff>
      <xdr:row>9</xdr:row>
      <xdr:rowOff>171450</xdr:rowOff>
    </xdr:from>
    <xdr:to>
      <xdr:col>12</xdr:col>
      <xdr:colOff>698501</xdr:colOff>
      <xdr:row>25</xdr:row>
      <xdr:rowOff>15875</xdr:rowOff>
    </xdr:to>
    <mc:AlternateContent xmlns:mc="http://schemas.openxmlformats.org/markup-compatibility/2006" xmlns:a14="http://schemas.microsoft.com/office/drawing/2010/main">
      <mc:Choice Requires="a14">
        <xdr:graphicFrame macro="">
          <xdr:nvGraphicFramePr>
            <xdr:cNvPr id="4" name="Order Month">
              <a:extLst>
                <a:ext uri="{FF2B5EF4-FFF2-40B4-BE49-F238E27FC236}">
                  <a16:creationId xmlns:a16="http://schemas.microsoft.com/office/drawing/2014/main" id="{0B728DD1-A251-4826-D8A0-FBACAB116391}"/>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7533986" y="1911927"/>
              <a:ext cx="2828060" cy="9960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urav" refreshedDate="45718.859861226854" createdVersion="8" refreshedVersion="8" minRefreshableVersion="3" recordCount="830" xr:uid="{591E2868-A272-4F0A-8573-801CE95097CE}">
  <cacheSource type="worksheet">
    <worksheetSource name="Cutomer_Order_Info"/>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2016-07-04T00:00:00" maxDate="2018-05-07T00:00:00" count="480">
        <d v="2017-08-25T00:00:00"/>
        <d v="2017-10-03T00:00:00"/>
        <d v="2017-10-13T00:00:00"/>
        <d v="2018-01-15T00:00:00"/>
        <d v="2018-03-16T00:00:00"/>
        <d v="2018-04-09T00:00:00"/>
        <d v="2016-09-18T00:00:00"/>
        <d v="2017-08-08T00:00:00"/>
        <d v="2017-11-28T00:00:00"/>
        <d v="2018-03-04T00:00:00"/>
        <d v="2016-11-27T00:00:00"/>
        <d v="2017-04-15T00:00:00"/>
        <d v="2017-05-13T00:00:00"/>
        <d v="2017-06-19T00:00:00"/>
        <d v="2017-09-22T00:00:00"/>
        <d v="2017-09-25T00:00:00"/>
        <d v="2018-01-28T00:00:00"/>
        <d v="2016-11-15T00:00:00"/>
        <d v="2016-12-16T00:00:00"/>
        <d v="2017-02-21T00:00:00"/>
        <d v="2017-06-04T00:00:00"/>
        <d v="2017-10-16T00:00:00"/>
        <d v="2017-11-14T00:00:00"/>
        <d v="2017-11-17T00:00:00"/>
        <d v="2017-12-08T00:00:00"/>
        <d v="2017-12-24T00:00:00"/>
        <d v="2018-02-02T00:00:00"/>
        <d v="2018-03-03T00:00:00"/>
        <d v="2018-04-10T00:00:00"/>
        <d v="2016-08-12T00:00:00"/>
        <d v="2016-08-14T00:00:00"/>
        <d v="2017-02-12T00:00:00"/>
        <d v="2017-02-13T00:00:00"/>
        <d v="2017-05-01T00:00:00"/>
        <d v="2017-06-18T00:00:00"/>
        <d v="2017-08-11T00:00:00"/>
        <d v="2017-09-02T00:00:00"/>
        <d v="2017-09-17T00:00:00"/>
        <d v="2017-10-01T00:00:00"/>
        <d v="2017-11-07T00:00:00"/>
        <d v="2017-12-16T00:00:00"/>
        <d v="2018-01-16T00:00:00"/>
        <d v="2018-02-03T00:00:00"/>
        <d v="2018-02-06T00:00:00"/>
        <d v="2017-04-09T00:00:00"/>
        <d v="2017-04-17T00:00:00"/>
        <d v="2017-06-27T00:00:00"/>
        <d v="2017-07-29T00:00:00"/>
        <d v="2018-01-27T00:00:00"/>
        <d v="2018-03-17T00:00:00"/>
        <d v="2018-04-29T00:00:00"/>
        <d v="2016-07-25T00:00:00"/>
        <d v="2016-09-04T00:00:00"/>
        <d v="2016-11-22T00:00:00"/>
        <d v="2017-02-05T00:00:00"/>
        <d v="2017-02-18T00:00:00"/>
        <d v="2017-06-05T00:00:00"/>
        <d v="2017-06-12T00:00:00"/>
        <d v="2017-06-30T00:00:00"/>
        <d v="2017-08-12T00:00:00"/>
        <d v="2017-09-23T00:00:00"/>
        <d v="2018-01-12T00:00:00"/>
        <d v="2016-10-10T00:00:00"/>
        <d v="2017-12-29T00:00:00"/>
        <d v="2018-03-24T00:00:00"/>
        <d v="2016-10-16T00:00:00"/>
        <d v="2016-10-29T00:00:00"/>
        <d v="2016-11-25T00:00:00"/>
        <d v="2017-03-11T00:00:00"/>
        <d v="2017-04-18T00:00:00"/>
        <d v="2017-05-02T00:00:00"/>
        <d v="2017-09-10T00:00:00"/>
        <d v="2017-10-23T00:00:00"/>
        <d v="2017-11-05T00:00:00"/>
        <d v="2017-11-06T00:00:00"/>
        <d v="2017-11-26T00:00:00"/>
        <d v="2018-02-05T00:00:00"/>
        <d v="2018-02-09T00:00:00"/>
        <d v="2018-03-06T00:00:00"/>
        <d v="2018-03-11T00:00:00"/>
        <d v="2018-05-06T00:00:00"/>
        <d v="2016-12-20T00:00:00"/>
        <d v="2017-01-10T00:00:00"/>
        <d v="2017-01-30T00:00:00"/>
        <d v="2017-04-01T00:00:00"/>
        <d v="2018-03-02T00:00:00"/>
        <d v="2018-03-12T00:00:00"/>
        <d v="2018-03-13T00:00:00"/>
        <d v="2018-03-25T00:00:00"/>
        <d v="2018-03-27T00:00:00"/>
        <d v="2018-04-16T00:00:00"/>
        <d v="2018-04-23T00:00:00"/>
        <d v="2018-04-24T00:00:00"/>
        <d v="2016-08-26T00:00:00"/>
        <d v="2017-03-24T00:00:00"/>
        <d v="2017-05-15T00:00:00"/>
        <d v="2017-05-16T00:00:00"/>
        <d v="2017-06-24T00:00:00"/>
        <d v="2017-07-15T00:00:00"/>
        <d v="2018-04-14T00:00:00"/>
        <d v="2017-04-29T00:00:00"/>
        <d v="2017-12-17T00:00:00"/>
        <d v="2018-01-07T00:00:00"/>
        <d v="2018-02-11T00:00:00"/>
        <d v="2018-03-10T00:00:00"/>
        <d v="2018-04-28T00:00:00"/>
        <d v="2016-07-18T00:00:00"/>
        <d v="2016-07-11T00:00:00"/>
        <d v="2016-12-03T00:00:00"/>
        <d v="2017-04-28T00:00:00"/>
        <d v="2017-11-19T00:00:00"/>
        <d v="2018-03-20T00:00:00"/>
        <d v="2018-04-22T00:00:00"/>
        <d v="2016-08-27T00:00:00"/>
        <d v="2017-03-06T00:00:00"/>
        <d v="2017-04-02T00:00:00"/>
        <d v="2018-03-23T00:00:00"/>
        <d v="2017-02-04T00:00:00"/>
        <d v="2017-03-03T00:00:00"/>
        <d v="2018-01-23T00:00:00"/>
        <d v="2016-11-26T00:00:00"/>
        <d v="2016-12-23T00:00:00"/>
        <d v="2017-12-25T00:00:00"/>
        <d v="2018-01-09T00:00:00"/>
        <d v="2018-04-20T00:00:00"/>
        <d v="2018-05-04T00:00:00"/>
        <d v="2016-09-20T00:00:00"/>
        <d v="2017-07-24T00:00:00"/>
        <d v="2017-09-26T00:00:00"/>
        <d v="2018-02-16T00:00:00"/>
        <d v="2017-01-01T00:00:00"/>
        <d v="2017-05-09T00:00:00"/>
        <d v="2017-11-03T00:00:00"/>
        <d v="2018-03-31T00:00:00"/>
        <d v="2018-04-15T00:00:00"/>
        <d v="2016-07-17T00:00:00"/>
        <d v="2016-07-23T00:00:00"/>
        <d v="2016-11-11T00:00:00"/>
        <d v="2016-11-29T00:00:00"/>
        <d v="2016-12-13T00:00:00"/>
        <d v="2017-01-02T00:00:00"/>
        <d v="2017-01-03T00:00:00"/>
        <d v="2017-02-11T00:00:00"/>
        <d v="2017-04-22T00:00:00"/>
        <d v="2017-06-17T00:00:00"/>
        <d v="2017-07-10T00:00:00"/>
        <d v="2017-08-15T00:00:00"/>
        <d v="2017-09-12T00:00:00"/>
        <d v="2017-10-09T00:00:00"/>
        <d v="2017-12-03T00:00:00"/>
        <d v="2017-12-10T00:00:00"/>
        <d v="2017-12-11T00:00:00"/>
        <d v="2017-12-15T00:00:00"/>
        <d v="2018-02-18T00:00:00"/>
        <d v="2018-03-26T00:00:00"/>
        <d v="2018-04-01T00:00:00"/>
        <d v="2018-04-08T00:00:00"/>
        <d v="2018-04-13T00:00:00"/>
        <d v="2018-05-05T00:00:00"/>
        <d v="2016-11-06T00:00:00"/>
        <d v="2016-12-18T00:00:00"/>
        <d v="2017-01-14T00:00:00"/>
        <d v="2017-04-21T00:00:00"/>
        <d v="2017-06-26T00:00:00"/>
        <d v="2017-08-29T00:00:00"/>
        <d v="2017-10-31T00:00:00"/>
        <d v="2017-01-08T00:00:00"/>
        <d v="2017-03-20T00:00:00"/>
        <d v="2017-12-22T00:00:00"/>
        <d v="2016-07-24T00:00:00"/>
        <d v="2016-10-11T00:00:00"/>
        <d v="2016-12-10T00:00:00"/>
        <d v="2017-02-03T00:00:00"/>
        <d v="2017-02-28T00:00:00"/>
        <d v="2017-05-12T00:00:00"/>
        <d v="2017-06-06T00:00:00"/>
        <d v="2017-10-14T00:00:00"/>
        <d v="2017-12-02T00:00:00"/>
        <d v="2018-02-10T00:00:00"/>
        <d v="2018-02-23T00:00:00"/>
        <d v="2018-04-06T00:00:00"/>
        <d v="2018-04-27T00:00:00"/>
        <d v="2016-07-29T00:00:00"/>
        <d v="2016-10-24T00:00:00"/>
        <d v="2016-10-30T00:00:00"/>
        <d v="2016-12-27T00:00:00"/>
        <d v="2017-03-27T00:00:00"/>
        <d v="2017-08-07T00:00:00"/>
        <d v="2017-09-16T00:00:00"/>
        <d v="2017-09-19T00:00:00"/>
        <d v="2017-10-24T00:00:00"/>
        <d v="2017-12-23T00:00:00"/>
        <d v="2018-01-29T00:00:00"/>
        <d v="2018-03-05T00:00:00"/>
        <d v="2017-01-22T00:00:00"/>
        <d v="2017-10-20T00:00:00"/>
        <d v="2017-11-25T00:00:00"/>
        <d v="2017-12-31T00:00:00"/>
        <d v="2018-04-30T00:00:00"/>
        <d v="2016-10-14T00:00:00"/>
        <d v="2016-11-12T00:00:00"/>
        <d v="2017-03-04T00:00:00"/>
        <d v="2017-03-31T00:00:00"/>
        <d v="2017-05-28T00:00:00"/>
        <d v="2017-07-18T00:00:00"/>
        <d v="2018-03-19T00:00:00"/>
        <d v="2016-11-28T00:00:00"/>
        <d v="2017-01-27T00:00:00"/>
        <d v="2017-06-13T00:00:00"/>
        <d v="2018-02-13T00:00:00"/>
        <d v="2016-09-11T00:00:00"/>
        <d v="2018-02-26T00:00:00"/>
        <d v="2018-04-21T00:00:00"/>
        <d v="2017-01-23T00:00:00"/>
        <d v="2017-09-01T00:00:00"/>
        <d v="2017-09-29T00:00:00"/>
        <d v="2017-10-17T00:00:00"/>
        <d v="2018-03-18T00:00:00"/>
        <d v="2017-05-06T00:00:00"/>
        <d v="2017-07-04T00:00:00"/>
        <d v="2017-07-31T00:00:00"/>
        <d v="2017-09-04T00:00:00"/>
        <d v="2018-01-06T00:00:00"/>
        <d v="2018-03-09T00:00:00"/>
        <d v="2018-04-07T00:00:00"/>
        <d v="2016-07-30T00:00:00"/>
        <d v="2017-12-18T00:00:00"/>
        <d v="2016-07-08T00:00:00"/>
        <d v="2016-07-10T00:00:00"/>
        <d v="2017-05-19T00:00:00"/>
        <d v="2017-08-26T00:00:00"/>
        <d v="2017-10-02T00:00:00"/>
        <d v="2017-12-09T00:00:00"/>
        <d v="2018-02-24T00:00:00"/>
        <d v="2016-07-16T00:00:00"/>
        <d v="2016-12-26T00:00:00"/>
        <d v="2017-03-17T00:00:00"/>
        <d v="2017-03-26T00:00:00"/>
        <d v="2017-04-07T00:00:00"/>
        <d v="2017-05-29T00:00:00"/>
        <d v="2017-07-16T00:00:00"/>
        <d v="2017-08-22T00:00:00"/>
        <d v="2017-10-15T00:00:00"/>
        <d v="2016-12-06T00:00:00"/>
        <d v="2016-12-25T00:00:00"/>
        <d v="2017-01-15T00:00:00"/>
        <d v="2017-09-08T00:00:00"/>
        <d v="2016-09-05T00:00:00"/>
        <d v="2016-09-19T00:00:00"/>
        <d v="2016-10-22T00:00:00"/>
        <d v="2016-12-05T00:00:00"/>
        <d v="2016-12-12T00:00:00"/>
        <d v="2017-01-29T00:00:00"/>
        <d v="2017-04-11T00:00:00"/>
        <d v="2017-04-24T00:00:00"/>
        <d v="2017-08-27T00:00:00"/>
        <d v="2017-09-09T00:00:00"/>
        <d v="2017-09-30T00:00:00"/>
        <d v="2017-10-21T00:00:00"/>
        <d v="2017-11-11T00:00:00"/>
        <d v="2018-02-19T00:00:00"/>
        <d v="2018-03-30T00:00:00"/>
        <d v="2016-09-26T00:00:00"/>
        <d v="2016-10-01T00:00:00"/>
        <d v="2016-10-03T00:00:00"/>
        <d v="2017-03-13T00:00:00"/>
        <d v="2017-08-05T00:00:00"/>
        <d v="2017-09-18T00:00:00"/>
        <d v="2017-11-20T00:00:00"/>
        <d v="2017-12-26T00:00:00"/>
        <d v="2018-01-13T00:00:00"/>
        <d v="2016-10-07T00:00:00"/>
        <d v="2016-10-09T00:00:00"/>
        <d v="2017-02-25T00:00:00"/>
        <d v="2017-03-07T00:00:00"/>
        <d v="2017-05-20T00:00:00"/>
        <d v="2017-08-13T00:00:00"/>
        <d v="2017-10-27T00:00:00"/>
        <d v="2016-11-20T00:00:00"/>
        <d v="2017-01-24T00:00:00"/>
        <d v="2017-07-25T00:00:00"/>
        <d v="2017-08-14T00:00:00"/>
        <d v="2017-12-19T00:00:00"/>
        <d v="2018-01-14T00:00:00"/>
        <d v="2017-04-03T00:00:00"/>
        <d v="2018-01-01T00:00:00"/>
        <d v="2017-03-21T00:00:00"/>
        <d v="2017-05-22T00:00:00"/>
        <d v="2016-08-13T00:00:00"/>
        <d v="2016-08-19T00:00:00"/>
        <d v="2016-10-31T00:00:00"/>
        <d v="2017-04-04T00:00:00"/>
        <d v="2017-04-30T00:00:00"/>
        <d v="2017-05-14T00:00:00"/>
        <d v="2017-06-03T00:00:00"/>
        <d v="2017-07-08T00:00:00"/>
        <d v="2017-07-09T00:00:00"/>
        <d v="2018-01-30T00:00:00"/>
        <d v="2018-02-17T00:00:00"/>
        <d v="2017-06-25T00:00:00"/>
        <d v="2017-11-10T00:00:00"/>
        <d v="2018-02-12T00:00:00"/>
        <d v="2016-08-16T00:00:00"/>
        <d v="2016-09-03T00:00:00"/>
        <d v="2016-11-19T00:00:00"/>
        <d v="2017-04-08T00:00:00"/>
        <d v="2017-05-21T00:00:00"/>
        <d v="2018-02-20T00:00:00"/>
        <d v="2018-04-03T00:00:00"/>
        <d v="2018-05-01T00:00:00"/>
        <d v="2017-01-06T00:00:00"/>
        <d v="2017-03-25T00:00:00"/>
        <d v="2017-08-20T00:00:00"/>
        <d v="2017-10-08T00:00:00"/>
        <d v="2017-11-04T00:00:00"/>
        <d v="2018-01-02T00:00:00"/>
        <d v="2018-01-19T00:00:00"/>
        <d v="2016-09-17T00:00:00"/>
        <d v="2016-09-30T00:00:00"/>
        <d v="2017-09-11T00:00:00"/>
        <d v="2016-08-07T00:00:00"/>
        <d v="2016-09-09T00:00:00"/>
        <d v="2017-08-18T00:00:00"/>
        <d v="2017-05-07T00:00:00"/>
        <d v="2017-08-28T00:00:00"/>
        <d v="2017-12-01T00:00:00"/>
        <d v="2016-10-17T00:00:00"/>
        <d v="2016-10-28T00:00:00"/>
        <d v="2016-12-09T00:00:00"/>
        <d v="2017-02-07T00:00:00"/>
        <d v="2017-04-14T00:00:00"/>
        <d v="2017-06-11T00:00:00"/>
        <d v="2017-07-07T00:00:00"/>
        <d v="2017-07-21T00:00:00"/>
        <d v="2017-08-01T00:00:00"/>
        <d v="2017-08-04T00:00:00"/>
        <d v="2017-10-30T00:00:00"/>
        <d v="2016-08-09T00:00:00"/>
        <d v="2017-06-20T00:00:00"/>
        <d v="2017-11-24T00:00:00"/>
        <d v="2017-01-09T00:00:00"/>
        <d v="2017-05-08T00:00:00"/>
        <d v="2016-07-19T00:00:00"/>
        <d v="2016-09-13T00:00:00"/>
        <d v="2016-10-25T00:00:00"/>
        <d v="2017-02-10T00:00:00"/>
        <d v="2017-09-24T00:00:00"/>
        <d v="2017-01-07T00:00:00"/>
        <d v="2017-04-16T00:00:00"/>
        <d v="2017-05-30T00:00:00"/>
        <d v="2017-12-05T00:00:00"/>
        <d v="2016-10-04T00:00:00"/>
        <d v="2016-11-14T00:00:00"/>
        <d v="2017-04-10T00:00:00"/>
        <d v="2018-04-02T00:00:00"/>
        <d v="2016-11-13T00:00:00"/>
        <d v="2016-12-24T00:00:00"/>
        <d v="2017-03-28T00:00:00"/>
        <d v="2017-07-11T00:00:00"/>
        <d v="2018-01-21T00:00:00"/>
        <d v="2016-10-23T00:00:00"/>
        <d v="2016-12-11T00:00:00"/>
        <d v="2017-01-21T00:00:00"/>
        <d v="2017-07-02T00:00:00"/>
        <d v="2017-10-28T00:00:00"/>
        <d v="2016-12-04T00:00:00"/>
        <d v="2017-08-19T00:00:00"/>
        <d v="2017-09-05T00:00:00"/>
        <d v="2018-02-04T00:00:00"/>
        <d v="2018-02-27T00:00:00"/>
        <d v="2016-08-05T00:00:00"/>
        <d v="2016-08-20T00:00:00"/>
        <d v="2016-08-21T00:00:00"/>
        <d v="2016-09-24T00:00:00"/>
        <d v="2016-11-04T00:00:00"/>
        <d v="2017-01-17T00:00:00"/>
        <d v="2017-02-19T00:00:00"/>
        <d v="2017-04-23T00:00:00"/>
        <d v="2017-05-05T00:00:00"/>
        <d v="2017-05-27T00:00:00"/>
        <d v="2017-07-03T00:00:00"/>
        <d v="2017-10-06T00:00:00"/>
        <d v="2017-10-29T00:00:00"/>
        <d v="2017-11-18T00:00:00"/>
        <d v="2017-12-04T00:00:00"/>
        <d v="2017-02-17T00:00:00"/>
        <d v="2016-07-22T00:00:00"/>
        <d v="2016-08-02T00:00:00"/>
        <d v="2016-08-30T00:00:00"/>
        <d v="2016-09-25T00:00:00"/>
        <d v="2016-09-27T00:00:00"/>
        <d v="2016-11-05T00:00:00"/>
        <d v="2017-03-19T00:00:00"/>
        <d v="2017-06-10T00:00:00"/>
        <d v="2017-06-16T00:00:00"/>
        <d v="2017-07-14T00:00:00"/>
        <d v="2018-01-26T00:00:00"/>
        <d v="2016-08-23T00:00:00"/>
        <d v="2017-01-28T00:00:00"/>
        <d v="2017-06-09T00:00:00"/>
        <d v="2017-09-03T00:00:00"/>
        <d v="2016-08-22T00:00:00"/>
        <d v="2016-09-06T00:00:00"/>
        <d v="2017-02-14T00:00:00"/>
        <d v="2017-08-06T00:00:00"/>
        <d v="2018-01-05T00:00:00"/>
        <d v="2016-07-12T00:00:00"/>
        <d v="2017-01-20T00:00:00"/>
        <d v="2018-04-17T00:00:00"/>
        <d v="2016-08-15T00:00:00"/>
        <d v="2016-09-16T00:00:00"/>
        <d v="2016-10-08T00:00:00"/>
        <d v="2016-12-30T00:00:00"/>
        <d v="2017-02-20T00:00:00"/>
        <d v="2017-06-02T00:00:00"/>
        <d v="2017-07-22T00:00:00"/>
        <d v="2017-07-28T00:00:00"/>
        <d v="2017-10-10T00:00:00"/>
        <d v="2017-10-22T00:00:00"/>
        <d v="2017-11-27T00:00:00"/>
        <d v="2018-01-22T00:00:00"/>
        <d v="2016-11-21T00:00:00"/>
        <d v="2016-12-19T00:00:00"/>
        <d v="2017-03-12T00:00:00"/>
        <d v="2017-05-23T00:00:00"/>
        <d v="2017-12-30T00:00:00"/>
        <d v="2017-01-16T00:00:00"/>
        <d v="2017-09-15T00:00:00"/>
        <d v="2017-11-12T00:00:00"/>
        <d v="2018-02-25T00:00:00"/>
        <d v="2016-08-01T00:00:00"/>
        <d v="2016-10-15T00:00:00"/>
        <d v="2016-11-08T00:00:00"/>
        <d v="2016-12-02T00:00:00"/>
        <d v="2016-12-17T00:00:00"/>
        <d v="2017-01-31T00:00:00"/>
        <d v="2018-01-08T00:00:00"/>
        <d v="2016-07-09T00:00:00"/>
        <d v="2016-09-10T00:00:00"/>
        <d v="2017-02-26T00:00:00"/>
        <d v="2017-03-14T00:00:00"/>
        <d v="2018-01-20T00:00:00"/>
        <d v="2017-12-12T00:00:00"/>
        <d v="2017-02-06T00:00:00"/>
        <d v="2017-05-26T00:00:00"/>
        <d v="2017-07-23T00:00:00"/>
        <d v="2016-08-08T00:00:00"/>
        <d v="2016-08-29T00:00:00"/>
        <d v="2016-09-12T00:00:00"/>
        <d v="2016-10-02T00:00:00"/>
        <d v="2017-04-25T00:00:00"/>
        <d v="2017-06-23T00:00:00"/>
        <d v="2016-07-05T00:00:00"/>
        <d v="2016-08-28T00:00:00"/>
        <d v="2016-12-31T00:00:00"/>
        <d v="2017-03-05T00:00:00"/>
        <d v="2017-07-17T00:00:00"/>
        <d v="2016-10-21T00:00:00"/>
        <d v="2017-02-27T00:00:00"/>
        <d v="2017-03-18T00:00:00"/>
        <d v="2016-08-06T00:00:00"/>
        <d v="2016-09-02T00:00:00"/>
        <d v="2016-09-23T00:00:00"/>
        <d v="2016-11-07T00:00:00"/>
        <d v="2016-11-18T00:00:00"/>
        <d v="2017-08-21T00:00:00"/>
        <d v="2016-07-26T00:00:00"/>
        <d v="2016-10-18T00:00:00"/>
        <d v="2017-01-13T00:00:00"/>
        <d v="2017-02-24T00:00:00"/>
        <d v="2017-11-21T00:00:00"/>
        <d v="2016-07-15T00:00:00"/>
        <d v="2017-07-01T00:00:00"/>
        <d v="2016-07-31T00:00:00"/>
        <d v="2016-11-01T00:00:00"/>
        <d v="2017-03-10T00:00:00"/>
        <d v="2017-11-13T00:00:00"/>
        <d v="2016-07-04T00:00:00"/>
        <d v="2017-07-30T00:00:00"/>
        <d v="2017-10-07T00:00:00"/>
      </sharedItems>
      <fieldGroup par="11"/>
    </cacheField>
    <cacheField name="RequiredDate" numFmtId="14">
      <sharedItems containsSemiMixedTypes="0" containsNonDate="0" containsDate="1" containsString="0" minDate="2016-07-24T00:00:00" maxDate="2018-06-12T00:00:00"/>
    </cacheField>
    <cacheField name="ShippedDate" numFmtId="14">
      <sharedItems containsNonDate="0" containsDate="1" containsString="0" containsBlank="1" minDate="2016-07-10T00:00:00" maxDate="2018-05-07T00:00:00"/>
    </cacheField>
    <cacheField name="Shipper Name " numFmtId="0">
      <sharedItems/>
    </cacheField>
    <cacheField name="OrderAmount" numFmtId="0">
      <sharedItems containsSemiMixedTypes="0" containsString="0" containsNumber="1" minValue="0.1" maxValue="5038.2"/>
    </cacheField>
    <cacheField name="Company Name" numFmtId="0">
      <sharedItems count="89">
        <s v="Alfreds Freddy"/>
        <s v="Anant Rations"/>
        <s v="Antara Torches"/>
        <s v="Arvind Outfits"/>
        <s v="Berglunds Snooby"/>
        <s v="Blanket United"/>
        <s v="Bondel Garrages"/>
        <s v="Bold Collections"/>
        <s v="Bombay Apparel"/>
        <s v="Bottoms Up"/>
        <s v="Best Beverages"/>
        <s v="Cactus Comidas "/>
        <s v="Centro comercial "/>
        <s v="Chop-suey "/>
        <s v="Coco Mineiro"/>
        <s v="Consolidated Holdings"/>
        <s v="Dragon Datas"/>
        <s v="Du drops"/>
        <s v="Eastern Connection"/>
        <s v="Ernst Handel"/>
        <s v="Familia Arcade"/>
        <s v="Folies garments"/>
        <s v="Folkos"/>
        <s v="Franken sand"/>
        <s v="France resto"/>
        <s v="Fabric Nation"/>
        <s v="Furry italian"/>
        <s v="Galeb bakery"/>
        <s v="Godos Cocina "/>
        <s v="Gourmet Lajawab"/>
        <s v="Great Lakes Foods"/>
        <s v="Garrison Restaurant"/>
        <s v="Harini Canes"/>
        <s v="Hilkon Air"/>
        <s v="Hungry Guys"/>
        <s v="Hungama Trading"/>
        <s v="Island Trading"/>
        <s v="Kone Enterprises"/>
        <s v="Lacar Industries"/>
        <s v="Lama Fashions"/>
        <s v="Laughing Bacchus "/>
        <s v="Lazy Kites"/>
        <s v="Lehmanns Markets"/>
        <s v="Let's Stop N Shop"/>
        <s v="Lila Supermart"/>
        <s v="Linda Designs"/>
        <s v="Lonesome Restaurant"/>
        <s v="Malad Traders"/>
        <s v="Maison Dewey"/>
        <s v="Merry Paillarde"/>
        <s v="Morton Goods"/>
        <s v="North South Hotels"/>
        <s v="Ocean Attiko"/>
        <s v="Old Words"/>
        <s v="Oakwood Furnishings"/>
        <s v="Pericles Comidas clásicas"/>
        <s v="Picco Trades"/>
        <s v="Print India"/>
        <s v="Queue Linen"/>
        <s v="Queen Seatings"/>
        <s v="QUICK-Stop"/>
        <s v="Rancho grande"/>
        <s v="Rattlesnake Grocery"/>
        <s v="Rewari Grocers"/>
        <s v="Ricardo Adocicados"/>
        <s v="Richter Supermarkt"/>
        <s v="Romeo Yeasts"/>
        <s v="Santa Gourmet"/>
        <s v="Seva Diagnostics"/>
        <s v="Seven Seas Imports"/>
        <s v="Simons bistro"/>
        <s v="Social Café"/>
        <s v="Split Seconds"/>
        <s v="Supreme Finishings"/>
        <s v="The Big Cheese"/>
        <s v="The Cracker Box"/>
        <s v="Toms Specialities"/>
        <s v="Tortuga Restaurante"/>
        <s v="Traders Den"/>
        <s v="Trail's Provisioners"/>
        <s v="Venkat Café"/>
        <s v="Victor Provisions"/>
        <s v="Vincent Decorators"/>
        <s v="Wonderworld"/>
        <s v="Wazir Collections"/>
        <s v="Wellington Imports"/>
        <s v="White Clover Markets"/>
        <s v="Wilman Kala"/>
        <s v="West Zen"/>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2016-07-04T00:00:00" endDate="2018-05-07T00:00:00"/>
        <groupItems count="14">
          <s v="&lt;04-07-2016"/>
          <s v="Jan"/>
          <s v="Feb"/>
          <s v="Mar"/>
          <s v="Apr"/>
          <s v="May"/>
          <s v="Jun"/>
          <s v="Jul"/>
          <s v="Aug"/>
          <s v="Sep"/>
          <s v="Oct"/>
          <s v="Nov"/>
          <s v="Dec"/>
          <s v="&gt;07-05-2018"/>
        </groupItems>
      </fieldGroup>
    </cacheField>
    <cacheField name="Quarters (OrderDate)" numFmtId="0" databaseField="0">
      <fieldGroup base="2">
        <rangePr groupBy="quarters" startDate="2016-07-04T00:00:00" endDate="2018-05-07T00:00:00"/>
        <groupItems count="6">
          <s v="&lt;04-07-2016"/>
          <s v="Qtr1"/>
          <s v="Qtr2"/>
          <s v="Qtr3"/>
          <s v="Qtr4"/>
          <s v="&gt;07-05-2018"/>
        </groupItems>
      </fieldGroup>
    </cacheField>
    <cacheField name="Years (OrderDate)" numFmtId="0" databaseField="0">
      <fieldGroup base="2">
        <rangePr groupBy="years" startDate="2016-07-04T00:00:00" endDate="2018-05-07T00:00:00"/>
        <groupItems count="5">
          <s v="&lt;04-07-2016"/>
          <s v="2016"/>
          <s v="2017"/>
          <s v="2018"/>
          <s v="&gt;07-05-2018"/>
        </groupItems>
      </fieldGroup>
    </cacheField>
  </cacheFields>
  <extLst>
    <ext xmlns:x14="http://schemas.microsoft.com/office/spreadsheetml/2009/9/main" uri="{725AE2AE-9491-48be-B2B4-4EB974FC3084}">
      <x14:pivotCacheDefinition pivotCacheId="12403078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2017-09-22T00:00:00"/>
    <d v="2017-09-02T00:00:00"/>
    <s v="Speed Express"/>
    <n v="147.30000000000001"/>
    <x v="0"/>
    <x v="0"/>
  </r>
  <r>
    <n v="10692"/>
    <s v="ALFKI"/>
    <x v="1"/>
    <d v="2017-10-31T00:00:00"/>
    <d v="2017-10-13T00:00:00"/>
    <s v="Natioanl Package"/>
    <n v="305.10000000000002"/>
    <x v="0"/>
    <x v="1"/>
  </r>
  <r>
    <n v="10702"/>
    <s v="ALFKI"/>
    <x v="2"/>
    <d v="2017-11-24T00:00:00"/>
    <d v="2017-10-21T00:00:00"/>
    <s v="Speed Express"/>
    <n v="119.7"/>
    <x v="0"/>
    <x v="1"/>
  </r>
  <r>
    <n v="10835"/>
    <s v="ALFKI"/>
    <x v="3"/>
    <d v="2018-02-12T00:00:00"/>
    <d v="2018-01-21T00:00:00"/>
    <s v="Inland Shipping"/>
    <n v="347.65"/>
    <x v="0"/>
    <x v="2"/>
  </r>
  <r>
    <n v="10952"/>
    <s v="ALFKI"/>
    <x v="4"/>
    <d v="2018-04-27T00:00:00"/>
    <d v="2018-03-24T00:00:00"/>
    <s v="Speed Express"/>
    <n v="202.10000000000002"/>
    <x v="0"/>
    <x v="3"/>
  </r>
  <r>
    <n v="11011"/>
    <s v="ALFKI"/>
    <x v="5"/>
    <d v="2018-05-07T00:00:00"/>
    <d v="2018-04-13T00:00:00"/>
    <s v="Speed Express"/>
    <n v="6.05"/>
    <x v="0"/>
    <x v="4"/>
  </r>
  <r>
    <n v="10308"/>
    <s v="ANATR"/>
    <x v="6"/>
    <d v="2016-10-16T00:00:00"/>
    <d v="2016-09-24T00:00:00"/>
    <s v="Inland Shipping"/>
    <n v="8.0500000000000007"/>
    <x v="1"/>
    <x v="5"/>
  </r>
  <r>
    <n v="10625"/>
    <s v="ANATR"/>
    <x v="7"/>
    <d v="2017-09-05T00:00:00"/>
    <d v="2017-08-14T00:00:00"/>
    <s v="Speed Express"/>
    <n v="219.5"/>
    <x v="1"/>
    <x v="0"/>
  </r>
  <r>
    <n v="10759"/>
    <s v="ANATR"/>
    <x v="8"/>
    <d v="2017-12-26T00:00:00"/>
    <d v="2017-12-12T00:00:00"/>
    <s v="Inland Shipping"/>
    <n v="59.95"/>
    <x v="1"/>
    <x v="6"/>
  </r>
  <r>
    <n v="10926"/>
    <s v="ANATR"/>
    <x v="9"/>
    <d v="2018-04-01T00:00:00"/>
    <d v="2018-03-11T00:00:00"/>
    <s v="Inland Shipping"/>
    <n v="199.60000000000002"/>
    <x v="1"/>
    <x v="3"/>
  </r>
  <r>
    <n v="10365"/>
    <s v="ANTON"/>
    <x v="10"/>
    <d v="2016-12-25T00:00:00"/>
    <d v="2016-12-02T00:00:00"/>
    <s v="Natioanl Package"/>
    <n v="110"/>
    <x v="2"/>
    <x v="6"/>
  </r>
  <r>
    <n v="10507"/>
    <s v="ANTON"/>
    <x v="11"/>
    <d v="2017-05-13T00:00:00"/>
    <d v="2017-04-22T00:00:00"/>
    <s v="Speed Express"/>
    <n v="237.25"/>
    <x v="2"/>
    <x v="4"/>
  </r>
  <r>
    <n v="10535"/>
    <s v="ANTON"/>
    <x v="12"/>
    <d v="2017-06-10T00:00:00"/>
    <d v="2017-05-21T00:00:00"/>
    <s v="Speed Express"/>
    <n v="78.2"/>
    <x v="2"/>
    <x v="7"/>
  </r>
  <r>
    <n v="10573"/>
    <s v="ANTON"/>
    <x v="13"/>
    <d v="2017-07-17T00:00:00"/>
    <d v="2017-06-20T00:00:00"/>
    <s v="Inland Shipping"/>
    <n v="424.20000000000005"/>
    <x v="2"/>
    <x v="8"/>
  </r>
  <r>
    <n v="10677"/>
    <s v="ANTON"/>
    <x v="14"/>
    <d v="2017-10-20T00:00:00"/>
    <d v="2017-09-26T00:00:00"/>
    <s v="Inland Shipping"/>
    <n v="20.150000000000002"/>
    <x v="2"/>
    <x v="5"/>
  </r>
  <r>
    <n v="10682"/>
    <s v="ANTON"/>
    <x v="15"/>
    <d v="2017-10-23T00:00:00"/>
    <d v="2017-10-01T00:00:00"/>
    <s v="Natioanl Package"/>
    <n v="180.65"/>
    <x v="2"/>
    <x v="5"/>
  </r>
  <r>
    <n v="10856"/>
    <s v="ANTON"/>
    <x v="16"/>
    <d v="2018-02-25T00:00:00"/>
    <d v="2018-02-10T00:00:00"/>
    <s v="Natioanl Package"/>
    <n v="292.14999999999998"/>
    <x v="2"/>
    <x v="2"/>
  </r>
  <r>
    <n v="10355"/>
    <s v="AROUT"/>
    <x v="17"/>
    <d v="2016-12-13T00:00:00"/>
    <d v="2016-11-20T00:00:00"/>
    <s v="Speed Express"/>
    <n v="209.75"/>
    <x v="3"/>
    <x v="6"/>
  </r>
  <r>
    <n v="10383"/>
    <s v="AROUT"/>
    <x v="18"/>
    <d v="2017-01-13T00:00:00"/>
    <d v="2016-12-18T00:00:00"/>
    <s v="Inland Shipping"/>
    <n v="171.20000000000002"/>
    <x v="3"/>
    <x v="9"/>
  </r>
  <r>
    <n v="10453"/>
    <s v="AROUT"/>
    <x v="19"/>
    <d v="2017-03-21T00:00:00"/>
    <d v="2017-02-26T00:00:00"/>
    <s v="Natioanl Package"/>
    <n v="126.8"/>
    <x v="3"/>
    <x v="10"/>
  </r>
  <r>
    <n v="10558"/>
    <s v="AROUT"/>
    <x v="20"/>
    <d v="2017-07-02T00:00:00"/>
    <d v="2017-06-10T00:00:00"/>
    <s v="Natioanl Package"/>
    <n v="364.85"/>
    <x v="3"/>
    <x v="8"/>
  </r>
  <r>
    <n v="10707"/>
    <s v="AROUT"/>
    <x v="21"/>
    <d v="2017-10-30T00:00:00"/>
    <d v="2017-10-23T00:00:00"/>
    <s v="Inland Shipping"/>
    <n v="108.69999999999999"/>
    <x v="3"/>
    <x v="1"/>
  </r>
  <r>
    <n v="10741"/>
    <s v="AROUT"/>
    <x v="22"/>
    <d v="2017-11-28T00:00:00"/>
    <d v="2017-11-18T00:00:00"/>
    <s v="Inland Shipping"/>
    <n v="54.800000000000004"/>
    <x v="3"/>
    <x v="6"/>
  </r>
  <r>
    <n v="10743"/>
    <s v="AROUT"/>
    <x v="23"/>
    <d v="2017-12-15T00:00:00"/>
    <d v="2017-11-21T00:00:00"/>
    <s v="Natioanl Package"/>
    <n v="118.6"/>
    <x v="3"/>
    <x v="6"/>
  </r>
  <r>
    <n v="10768"/>
    <s v="AROUT"/>
    <x v="24"/>
    <d v="2018-01-05T00:00:00"/>
    <d v="2017-12-15T00:00:00"/>
    <s v="Natioanl Package"/>
    <n v="731.59999999999991"/>
    <x v="3"/>
    <x v="9"/>
  </r>
  <r>
    <n v="10793"/>
    <s v="AROUT"/>
    <x v="25"/>
    <d v="2018-01-21T00:00:00"/>
    <d v="2018-01-08T00:00:00"/>
    <s v="Inland Shipping"/>
    <n v="22.599999999999998"/>
    <x v="3"/>
    <x v="9"/>
  </r>
  <r>
    <n v="10864"/>
    <s v="AROUT"/>
    <x v="26"/>
    <d v="2018-03-02T00:00:00"/>
    <d v="2018-02-09T00:00:00"/>
    <s v="Natioanl Package"/>
    <n v="15.2"/>
    <x v="3"/>
    <x v="10"/>
  </r>
  <r>
    <n v="10920"/>
    <s v="AROUT"/>
    <x v="27"/>
    <d v="2018-03-31T00:00:00"/>
    <d v="2018-03-09T00:00:00"/>
    <s v="Natioanl Package"/>
    <n v="148.05000000000001"/>
    <x v="3"/>
    <x v="3"/>
  </r>
  <r>
    <n v="10953"/>
    <s v="AROUT"/>
    <x v="4"/>
    <d v="2018-03-30T00:00:00"/>
    <d v="2018-03-25T00:00:00"/>
    <s v="Natioanl Package"/>
    <n v="118.6"/>
    <x v="3"/>
    <x v="3"/>
  </r>
  <r>
    <n v="11016"/>
    <s v="AROUT"/>
    <x v="28"/>
    <d v="2018-05-08T00:00:00"/>
    <d v="2018-04-13T00:00:00"/>
    <s v="Natioanl Package"/>
    <n v="169"/>
    <x v="3"/>
    <x v="4"/>
  </r>
  <r>
    <n v="10278"/>
    <s v="BERGS"/>
    <x v="29"/>
    <d v="2016-09-09T00:00:00"/>
    <d v="2016-08-16T00:00:00"/>
    <s v="Natioanl Package"/>
    <n v="463.45"/>
    <x v="4"/>
    <x v="0"/>
  </r>
  <r>
    <n v="10280"/>
    <s v="BERGS"/>
    <x v="30"/>
    <d v="2016-09-11T00:00:00"/>
    <d v="2016-09-12T00:00:00"/>
    <s v="Speed Express"/>
    <n v="44.900000000000006"/>
    <x v="4"/>
    <x v="0"/>
  </r>
  <r>
    <n v="10384"/>
    <s v="BERGS"/>
    <x v="18"/>
    <d v="2017-01-13T00:00:00"/>
    <d v="2016-12-20T00:00:00"/>
    <s v="Inland Shipping"/>
    <n v="843.19999999999993"/>
    <x v="4"/>
    <x v="9"/>
  </r>
  <r>
    <n v="10444"/>
    <s v="BERGS"/>
    <x v="31"/>
    <d v="2017-03-12T00:00:00"/>
    <d v="2017-02-21T00:00:00"/>
    <s v="Inland Shipping"/>
    <n v="17.5"/>
    <x v="4"/>
    <x v="10"/>
  </r>
  <r>
    <n v="10445"/>
    <s v="BERGS"/>
    <x v="32"/>
    <d v="2017-03-13T00:00:00"/>
    <d v="2017-02-20T00:00:00"/>
    <s v="Speed Express"/>
    <n v="46.5"/>
    <x v="4"/>
    <x v="10"/>
  </r>
  <r>
    <n v="10524"/>
    <s v="BERGS"/>
    <x v="33"/>
    <d v="2017-05-29T00:00:00"/>
    <d v="2017-05-07T00:00:00"/>
    <s v="Natioanl Package"/>
    <n v="1223.95"/>
    <x v="4"/>
    <x v="7"/>
  </r>
  <r>
    <n v="10572"/>
    <s v="BERGS"/>
    <x v="34"/>
    <d v="2017-07-16T00:00:00"/>
    <d v="2017-06-25T00:00:00"/>
    <s v="Natioanl Package"/>
    <n v="582.15000000000009"/>
    <x v="4"/>
    <x v="8"/>
  </r>
  <r>
    <n v="10626"/>
    <s v="BERGS"/>
    <x v="35"/>
    <d v="2017-09-08T00:00:00"/>
    <d v="2017-08-20T00:00:00"/>
    <s v="Natioanl Package"/>
    <n v="693.45"/>
    <x v="4"/>
    <x v="0"/>
  </r>
  <r>
    <n v="10654"/>
    <s v="BERGS"/>
    <x v="36"/>
    <d v="2017-09-30T00:00:00"/>
    <d v="2017-09-11T00:00:00"/>
    <s v="Speed Express"/>
    <n v="276.3"/>
    <x v="4"/>
    <x v="5"/>
  </r>
  <r>
    <n v="10672"/>
    <s v="BERGS"/>
    <x v="37"/>
    <d v="2017-10-01T00:00:00"/>
    <d v="2017-09-26T00:00:00"/>
    <s v="Natioanl Package"/>
    <n v="478.75"/>
    <x v="4"/>
    <x v="5"/>
  </r>
  <r>
    <n v="10689"/>
    <s v="BERGS"/>
    <x v="38"/>
    <d v="2017-10-29T00:00:00"/>
    <d v="2017-10-07T00:00:00"/>
    <s v="Natioanl Package"/>
    <n v="67.099999999999994"/>
    <x v="4"/>
    <x v="1"/>
  </r>
  <r>
    <n v="10733"/>
    <s v="BERGS"/>
    <x v="39"/>
    <d v="2017-12-05T00:00:00"/>
    <d v="2017-11-10T00:00:00"/>
    <s v="Inland Shipping"/>
    <n v="550.54999999999995"/>
    <x v="4"/>
    <x v="6"/>
  </r>
  <r>
    <n v="10778"/>
    <s v="BERGS"/>
    <x v="40"/>
    <d v="2018-01-13T00:00:00"/>
    <d v="2017-12-24T00:00:00"/>
    <s v="Speed Express"/>
    <n v="33.950000000000003"/>
    <x v="4"/>
    <x v="9"/>
  </r>
  <r>
    <n v="10837"/>
    <s v="BERGS"/>
    <x v="41"/>
    <d v="2018-02-13T00:00:00"/>
    <d v="2018-01-23T00:00:00"/>
    <s v="Inland Shipping"/>
    <n v="66.599999999999994"/>
    <x v="4"/>
    <x v="2"/>
  </r>
  <r>
    <n v="10857"/>
    <s v="BERGS"/>
    <x v="16"/>
    <d v="2018-02-25T00:00:00"/>
    <d v="2018-02-06T00:00:00"/>
    <s v="Natioanl Package"/>
    <n v="944.25"/>
    <x v="4"/>
    <x v="2"/>
  </r>
  <r>
    <n v="10866"/>
    <s v="BERGS"/>
    <x v="42"/>
    <d v="2018-03-03T00:00:00"/>
    <d v="2018-02-12T00:00:00"/>
    <s v="Speed Express"/>
    <n v="545.54999999999995"/>
    <x v="4"/>
    <x v="10"/>
  </r>
  <r>
    <n v="10875"/>
    <s v="BERGS"/>
    <x v="43"/>
    <d v="2018-03-06T00:00:00"/>
    <d v="2018-03-03T00:00:00"/>
    <s v="Natioanl Package"/>
    <n v="161.85"/>
    <x v="4"/>
    <x v="10"/>
  </r>
  <r>
    <n v="10924"/>
    <s v="BERGS"/>
    <x v="9"/>
    <d v="2018-04-01T00:00:00"/>
    <d v="2018-04-08T00:00:00"/>
    <s v="Natioanl Package"/>
    <n v="757.6"/>
    <x v="4"/>
    <x v="3"/>
  </r>
  <r>
    <n v="10501"/>
    <s v="BLAUS"/>
    <x v="44"/>
    <d v="2017-05-07T00:00:00"/>
    <d v="2017-04-16T00:00:00"/>
    <s v="Inland Shipping"/>
    <n v="44.25"/>
    <x v="5"/>
    <x v="4"/>
  </r>
  <r>
    <n v="10509"/>
    <s v="BLAUS"/>
    <x v="45"/>
    <d v="2017-05-15T00:00:00"/>
    <d v="2017-04-29T00:00:00"/>
    <s v="Speed Express"/>
    <n v="0.75"/>
    <x v="5"/>
    <x v="4"/>
  </r>
  <r>
    <n v="10582"/>
    <s v="BLAUS"/>
    <x v="46"/>
    <d v="2017-07-25T00:00:00"/>
    <d v="2017-07-14T00:00:00"/>
    <s v="Natioanl Package"/>
    <n v="138.55000000000001"/>
    <x v="5"/>
    <x v="8"/>
  </r>
  <r>
    <n v="10614"/>
    <s v="BLAUS"/>
    <x v="47"/>
    <d v="2017-08-26T00:00:00"/>
    <d v="2017-08-01T00:00:00"/>
    <s v="Inland Shipping"/>
    <n v="9.65"/>
    <x v="5"/>
    <x v="11"/>
  </r>
  <r>
    <n v="10853"/>
    <s v="BLAUS"/>
    <x v="48"/>
    <d v="2018-02-24T00:00:00"/>
    <d v="2018-02-03T00:00:00"/>
    <s v="Natioanl Package"/>
    <n v="269.14999999999998"/>
    <x v="5"/>
    <x v="2"/>
  </r>
  <r>
    <n v="10956"/>
    <s v="BLAUS"/>
    <x v="49"/>
    <d v="2018-04-28T00:00:00"/>
    <d v="2018-03-20T00:00:00"/>
    <s v="Natioanl Package"/>
    <n v="223.25"/>
    <x v="5"/>
    <x v="3"/>
  </r>
  <r>
    <n v="11058"/>
    <s v="BLAUS"/>
    <x v="50"/>
    <d v="2018-05-27T00:00:00"/>
    <m/>
    <s v="Inland Shipping"/>
    <n v="155.69999999999999"/>
    <x v="5"/>
    <x v="4"/>
  </r>
  <r>
    <n v="10265"/>
    <s v="BLONP"/>
    <x v="51"/>
    <d v="2016-08-22T00:00:00"/>
    <d v="2016-08-12T00:00:00"/>
    <s v="Speed Express"/>
    <n v="276.39999999999998"/>
    <x v="6"/>
    <x v="11"/>
  </r>
  <r>
    <n v="10297"/>
    <s v="BLONP"/>
    <x v="52"/>
    <d v="2016-10-16T00:00:00"/>
    <d v="2016-09-10T00:00:00"/>
    <s v="Natioanl Package"/>
    <n v="28.700000000000003"/>
    <x v="6"/>
    <x v="5"/>
  </r>
  <r>
    <n v="10360"/>
    <s v="BLONP"/>
    <x v="53"/>
    <d v="2016-12-20T00:00:00"/>
    <d v="2016-12-02T00:00:00"/>
    <s v="Inland Shipping"/>
    <n v="658.5"/>
    <x v="6"/>
    <x v="6"/>
  </r>
  <r>
    <n v="10436"/>
    <s v="BLONP"/>
    <x v="54"/>
    <d v="2017-03-05T00:00:00"/>
    <d v="2017-02-11T00:00:00"/>
    <s v="Natioanl Package"/>
    <n v="783.3"/>
    <x v="6"/>
    <x v="10"/>
  </r>
  <r>
    <n v="10449"/>
    <s v="BLONP"/>
    <x v="55"/>
    <d v="2017-03-18T00:00:00"/>
    <d v="2017-02-27T00:00:00"/>
    <s v="Natioanl Package"/>
    <n v="266.5"/>
    <x v="6"/>
    <x v="10"/>
  </r>
  <r>
    <n v="10559"/>
    <s v="BLONP"/>
    <x v="56"/>
    <d v="2017-07-03T00:00:00"/>
    <d v="2017-06-13T00:00:00"/>
    <s v="Speed Express"/>
    <n v="40.25"/>
    <x v="6"/>
    <x v="8"/>
  </r>
  <r>
    <n v="10566"/>
    <s v="BLONP"/>
    <x v="57"/>
    <d v="2017-07-10T00:00:00"/>
    <d v="2017-06-18T00:00:00"/>
    <s v="Speed Express"/>
    <n v="442"/>
    <x v="6"/>
    <x v="8"/>
  </r>
  <r>
    <n v="10584"/>
    <s v="BLONP"/>
    <x v="58"/>
    <d v="2017-07-28T00:00:00"/>
    <d v="2017-07-04T00:00:00"/>
    <s v="Speed Express"/>
    <n v="295.7"/>
    <x v="6"/>
    <x v="8"/>
  </r>
  <r>
    <n v="10628"/>
    <s v="BLONP"/>
    <x v="59"/>
    <d v="2017-09-09T00:00:00"/>
    <d v="2017-08-20T00:00:00"/>
    <s v="Inland Shipping"/>
    <n v="151.80000000000001"/>
    <x v="6"/>
    <x v="0"/>
  </r>
  <r>
    <n v="10679"/>
    <s v="BLONP"/>
    <x v="60"/>
    <d v="2017-10-21T00:00:00"/>
    <d v="2017-09-30T00:00:00"/>
    <s v="Inland Shipping"/>
    <n v="139.70000000000002"/>
    <x v="6"/>
    <x v="5"/>
  </r>
  <r>
    <n v="10826"/>
    <s v="BLONP"/>
    <x v="61"/>
    <d v="2018-02-09T00:00:00"/>
    <d v="2018-02-06T00:00:00"/>
    <s v="Speed Express"/>
    <n v="35.450000000000003"/>
    <x v="6"/>
    <x v="2"/>
  </r>
  <r>
    <n v="10326"/>
    <s v="BOLID"/>
    <x v="62"/>
    <d v="2016-11-07T00:00:00"/>
    <d v="2016-10-14T00:00:00"/>
    <s v="Natioanl Package"/>
    <n v="389.6"/>
    <x v="7"/>
    <x v="1"/>
  </r>
  <r>
    <n v="10801"/>
    <s v="BOLID"/>
    <x v="63"/>
    <d v="2018-01-26T00:00:00"/>
    <d v="2017-12-31T00:00:00"/>
    <s v="Natioanl Package"/>
    <n v="485.45000000000005"/>
    <x v="7"/>
    <x v="9"/>
  </r>
  <r>
    <n v="10970"/>
    <s v="BOLID"/>
    <x v="64"/>
    <d v="2018-04-07T00:00:00"/>
    <d v="2018-04-24T00:00:00"/>
    <s v="Speed Express"/>
    <n v="80.8"/>
    <x v="7"/>
    <x v="3"/>
  </r>
  <r>
    <n v="10331"/>
    <s v="BONAP"/>
    <x v="65"/>
    <d v="2016-11-27T00:00:00"/>
    <d v="2016-10-21T00:00:00"/>
    <s v="Speed Express"/>
    <n v="50.949999999999996"/>
    <x v="8"/>
    <x v="1"/>
  </r>
  <r>
    <n v="10340"/>
    <s v="BONAP"/>
    <x v="66"/>
    <d v="2016-11-26T00:00:00"/>
    <d v="2016-11-08T00:00:00"/>
    <s v="Inland Shipping"/>
    <n v="831.55"/>
    <x v="8"/>
    <x v="1"/>
  </r>
  <r>
    <n v="10362"/>
    <s v="BONAP"/>
    <x v="67"/>
    <d v="2016-12-23T00:00:00"/>
    <d v="2016-11-28T00:00:00"/>
    <s v="Speed Express"/>
    <n v="480.20000000000005"/>
    <x v="8"/>
    <x v="6"/>
  </r>
  <r>
    <n v="10470"/>
    <s v="BONAP"/>
    <x v="68"/>
    <d v="2017-04-08T00:00:00"/>
    <d v="2017-03-14T00:00:00"/>
    <s v="Natioanl Package"/>
    <n v="322.8"/>
    <x v="8"/>
    <x v="3"/>
  </r>
  <r>
    <n v="10511"/>
    <s v="BONAP"/>
    <x v="69"/>
    <d v="2017-05-16T00:00:00"/>
    <d v="2017-04-21T00:00:00"/>
    <s v="Inland Shipping"/>
    <n v="1753.1999999999998"/>
    <x v="8"/>
    <x v="4"/>
  </r>
  <r>
    <n v="10525"/>
    <s v="BONAP"/>
    <x v="70"/>
    <d v="2017-05-30T00:00:00"/>
    <d v="2017-05-23T00:00:00"/>
    <s v="Natioanl Package"/>
    <n v="55.300000000000004"/>
    <x v="8"/>
    <x v="7"/>
  </r>
  <r>
    <n v="10663"/>
    <s v="BONAP"/>
    <x v="71"/>
    <d v="2017-09-24T00:00:00"/>
    <d v="2017-10-03T00:00:00"/>
    <s v="Natioanl Package"/>
    <n v="565.75"/>
    <x v="8"/>
    <x v="5"/>
  </r>
  <r>
    <n v="10715"/>
    <s v="BONAP"/>
    <x v="72"/>
    <d v="2017-11-06T00:00:00"/>
    <d v="2017-10-29T00:00:00"/>
    <s v="Speed Express"/>
    <n v="316"/>
    <x v="8"/>
    <x v="1"/>
  </r>
  <r>
    <n v="10730"/>
    <s v="BONAP"/>
    <x v="73"/>
    <d v="2017-12-03T00:00:00"/>
    <d v="2017-11-14T00:00:00"/>
    <s v="Speed Express"/>
    <n v="100.60000000000001"/>
    <x v="8"/>
    <x v="6"/>
  </r>
  <r>
    <n v="10732"/>
    <s v="BONAP"/>
    <x v="74"/>
    <d v="2017-12-04T00:00:00"/>
    <d v="2017-11-07T00:00:00"/>
    <s v="Speed Express"/>
    <n v="84.85"/>
    <x v="8"/>
    <x v="6"/>
  </r>
  <r>
    <n v="10755"/>
    <s v="BONAP"/>
    <x v="75"/>
    <d v="2017-12-24T00:00:00"/>
    <d v="2017-11-28T00:00:00"/>
    <s v="Natioanl Package"/>
    <n v="83.550000000000011"/>
    <x v="8"/>
    <x v="6"/>
  </r>
  <r>
    <n v="10827"/>
    <s v="BONAP"/>
    <x v="61"/>
    <d v="2018-01-26T00:00:00"/>
    <d v="2018-02-06T00:00:00"/>
    <s v="Natioanl Package"/>
    <n v="317.7"/>
    <x v="8"/>
    <x v="2"/>
  </r>
  <r>
    <n v="10871"/>
    <s v="BONAP"/>
    <x v="76"/>
    <d v="2018-03-05T00:00:00"/>
    <d v="2018-02-10T00:00:00"/>
    <s v="Natioanl Package"/>
    <n v="561.35"/>
    <x v="8"/>
    <x v="10"/>
  </r>
  <r>
    <n v="10876"/>
    <s v="BONAP"/>
    <x v="77"/>
    <d v="2018-03-09T00:00:00"/>
    <d v="2018-02-12T00:00:00"/>
    <s v="Inland Shipping"/>
    <n v="302.10000000000002"/>
    <x v="8"/>
    <x v="10"/>
  </r>
  <r>
    <n v="10932"/>
    <s v="BONAP"/>
    <x v="78"/>
    <d v="2018-04-03T00:00:00"/>
    <d v="2018-03-24T00:00:00"/>
    <s v="Speed Express"/>
    <n v="673.19999999999993"/>
    <x v="8"/>
    <x v="3"/>
  </r>
  <r>
    <n v="10940"/>
    <s v="BONAP"/>
    <x v="79"/>
    <d v="2018-04-08T00:00:00"/>
    <d v="2018-03-23T00:00:00"/>
    <s v="Inland Shipping"/>
    <n v="98.85"/>
    <x v="8"/>
    <x v="3"/>
  </r>
  <r>
    <n v="11076"/>
    <s v="BONAP"/>
    <x v="80"/>
    <d v="2018-06-03T00:00:00"/>
    <m/>
    <s v="Natioanl Package"/>
    <n v="191.4"/>
    <x v="8"/>
    <x v="7"/>
  </r>
  <r>
    <n v="10389"/>
    <s v="BOTTM"/>
    <x v="81"/>
    <d v="2017-01-17T00:00:00"/>
    <d v="2016-12-24T00:00:00"/>
    <s v="Natioanl Package"/>
    <n v="237.10000000000002"/>
    <x v="9"/>
    <x v="9"/>
  </r>
  <r>
    <n v="10410"/>
    <s v="BOTTM"/>
    <x v="82"/>
    <d v="2017-02-07T00:00:00"/>
    <d v="2017-01-15T00:00:00"/>
    <s v="Inland Shipping"/>
    <n v="12"/>
    <x v="9"/>
    <x v="2"/>
  </r>
  <r>
    <n v="10411"/>
    <s v="BOTTM"/>
    <x v="82"/>
    <d v="2017-02-07T00:00:00"/>
    <d v="2017-01-21T00:00:00"/>
    <s v="Inland Shipping"/>
    <n v="118.25"/>
    <x v="9"/>
    <x v="2"/>
  </r>
  <r>
    <n v="10431"/>
    <s v="BOTTM"/>
    <x v="83"/>
    <d v="2017-02-13T00:00:00"/>
    <d v="2017-02-07T00:00:00"/>
    <s v="Natioanl Package"/>
    <n v="220.85000000000002"/>
    <x v="9"/>
    <x v="2"/>
  </r>
  <r>
    <n v="10492"/>
    <s v="BOTTM"/>
    <x v="84"/>
    <d v="2017-04-29T00:00:00"/>
    <d v="2017-04-11T00:00:00"/>
    <s v="Speed Express"/>
    <n v="314.45"/>
    <x v="9"/>
    <x v="4"/>
  </r>
  <r>
    <n v="10742"/>
    <s v="BOTTM"/>
    <x v="22"/>
    <d v="2017-12-12T00:00:00"/>
    <d v="2017-11-18T00:00:00"/>
    <s v="Inland Shipping"/>
    <n v="1218.6499999999999"/>
    <x v="9"/>
    <x v="6"/>
  </r>
  <r>
    <n v="10918"/>
    <s v="BOTTM"/>
    <x v="85"/>
    <d v="2018-03-30T00:00:00"/>
    <d v="2018-03-11T00:00:00"/>
    <s v="Inland Shipping"/>
    <n v="244.14999999999998"/>
    <x v="9"/>
    <x v="3"/>
  </r>
  <r>
    <n v="10944"/>
    <s v="BOTTM"/>
    <x v="86"/>
    <d v="2018-03-26T00:00:00"/>
    <d v="2018-03-13T00:00:00"/>
    <s v="Inland Shipping"/>
    <n v="264.60000000000002"/>
    <x v="9"/>
    <x v="3"/>
  </r>
  <r>
    <n v="10949"/>
    <s v="BOTTM"/>
    <x v="87"/>
    <d v="2018-04-10T00:00:00"/>
    <d v="2018-03-17T00:00:00"/>
    <s v="Inland Shipping"/>
    <n v="372.2"/>
    <x v="9"/>
    <x v="3"/>
  </r>
  <r>
    <n v="10975"/>
    <s v="BOTTM"/>
    <x v="88"/>
    <d v="2018-04-22T00:00:00"/>
    <d v="2018-03-27T00:00:00"/>
    <s v="Inland Shipping"/>
    <n v="161.35000000000002"/>
    <x v="9"/>
    <x v="3"/>
  </r>
  <r>
    <n v="10982"/>
    <s v="BOTTM"/>
    <x v="89"/>
    <d v="2018-04-24T00:00:00"/>
    <d v="2018-04-08T00:00:00"/>
    <s v="Speed Express"/>
    <n v="70.05"/>
    <x v="9"/>
    <x v="3"/>
  </r>
  <r>
    <n v="11027"/>
    <s v="BOTTM"/>
    <x v="90"/>
    <d v="2018-05-14T00:00:00"/>
    <d v="2018-04-20T00:00:00"/>
    <s v="Speed Express"/>
    <n v="262.60000000000002"/>
    <x v="9"/>
    <x v="4"/>
  </r>
  <r>
    <n v="11045"/>
    <s v="BOTTM"/>
    <x v="91"/>
    <d v="2018-05-21T00:00:00"/>
    <m/>
    <s v="Natioanl Package"/>
    <n v="352.9"/>
    <x v="9"/>
    <x v="4"/>
  </r>
  <r>
    <n v="11048"/>
    <s v="BOTTM"/>
    <x v="92"/>
    <d v="2018-05-22T00:00:00"/>
    <d v="2018-04-30T00:00:00"/>
    <s v="Inland Shipping"/>
    <n v="120.60000000000001"/>
    <x v="9"/>
    <x v="4"/>
  </r>
  <r>
    <n v="10289"/>
    <s v="BSBEV"/>
    <x v="93"/>
    <d v="2016-09-23T00:00:00"/>
    <d v="2016-08-28T00:00:00"/>
    <s v="Inland Shipping"/>
    <n v="113.85"/>
    <x v="10"/>
    <x v="0"/>
  </r>
  <r>
    <n v="10471"/>
    <s v="BSBEV"/>
    <x v="68"/>
    <d v="2017-04-08T00:00:00"/>
    <d v="2017-03-18T00:00:00"/>
    <s v="Inland Shipping"/>
    <n v="227.95000000000002"/>
    <x v="10"/>
    <x v="3"/>
  </r>
  <r>
    <n v="10484"/>
    <s v="BSBEV"/>
    <x v="94"/>
    <d v="2017-04-21T00:00:00"/>
    <d v="2017-04-01T00:00:00"/>
    <s v="Inland Shipping"/>
    <n v="34.4"/>
    <x v="10"/>
    <x v="3"/>
  </r>
  <r>
    <n v="10538"/>
    <s v="BSBEV"/>
    <x v="95"/>
    <d v="2017-06-12T00:00:00"/>
    <d v="2017-05-16T00:00:00"/>
    <s v="Inland Shipping"/>
    <n v="24.35"/>
    <x v="10"/>
    <x v="7"/>
  </r>
  <r>
    <n v="10539"/>
    <s v="BSBEV"/>
    <x v="96"/>
    <d v="2017-06-13T00:00:00"/>
    <d v="2017-05-23T00:00:00"/>
    <s v="Inland Shipping"/>
    <n v="61.8"/>
    <x v="10"/>
    <x v="7"/>
  </r>
  <r>
    <n v="10578"/>
    <s v="BSBEV"/>
    <x v="97"/>
    <d v="2017-07-22T00:00:00"/>
    <d v="2017-07-25T00:00:00"/>
    <s v="Inland Shipping"/>
    <n v="148"/>
    <x v="10"/>
    <x v="8"/>
  </r>
  <r>
    <n v="10599"/>
    <s v="BSBEV"/>
    <x v="98"/>
    <d v="2017-08-26T00:00:00"/>
    <d v="2017-07-21T00:00:00"/>
    <s v="Inland Shipping"/>
    <n v="149.9"/>
    <x v="10"/>
    <x v="11"/>
  </r>
  <r>
    <n v="10943"/>
    <s v="BSBEV"/>
    <x v="79"/>
    <d v="2018-04-08T00:00:00"/>
    <d v="2018-03-19T00:00:00"/>
    <s v="Natioanl Package"/>
    <n v="10.85"/>
    <x v="10"/>
    <x v="3"/>
  </r>
  <r>
    <n v="10947"/>
    <s v="BSBEV"/>
    <x v="87"/>
    <d v="2018-04-10T00:00:00"/>
    <d v="2018-03-16T00:00:00"/>
    <s v="Natioanl Package"/>
    <n v="16.299999999999997"/>
    <x v="10"/>
    <x v="3"/>
  </r>
  <r>
    <n v="11023"/>
    <s v="BSBEV"/>
    <x v="99"/>
    <d v="2018-04-28T00:00:00"/>
    <d v="2018-04-24T00:00:00"/>
    <s v="Natioanl Package"/>
    <n v="619.15"/>
    <x v="10"/>
    <x v="4"/>
  </r>
  <r>
    <n v="10521"/>
    <s v="CACTU"/>
    <x v="100"/>
    <d v="2017-05-27T00:00:00"/>
    <d v="2017-05-02T00:00:00"/>
    <s v="Natioanl Package"/>
    <n v="86.1"/>
    <x v="11"/>
    <x v="4"/>
  </r>
  <r>
    <n v="10782"/>
    <s v="CACTU"/>
    <x v="101"/>
    <d v="2018-01-14T00:00:00"/>
    <d v="2017-12-22T00:00:00"/>
    <s v="Inland Shipping"/>
    <n v="5.5"/>
    <x v="11"/>
    <x v="9"/>
  </r>
  <r>
    <n v="10819"/>
    <s v="CACTU"/>
    <x v="102"/>
    <d v="2018-02-04T00:00:00"/>
    <d v="2018-01-16T00:00:00"/>
    <s v="Inland Shipping"/>
    <n v="98.800000000000011"/>
    <x v="11"/>
    <x v="2"/>
  </r>
  <r>
    <n v="10881"/>
    <s v="CACTU"/>
    <x v="103"/>
    <d v="2018-03-11T00:00:00"/>
    <d v="2018-02-18T00:00:00"/>
    <s v="Speed Express"/>
    <n v="14.2"/>
    <x v="11"/>
    <x v="10"/>
  </r>
  <r>
    <n v="10937"/>
    <s v="CACTU"/>
    <x v="104"/>
    <d v="2018-03-24T00:00:00"/>
    <d v="2018-03-13T00:00:00"/>
    <s v="Inland Shipping"/>
    <n v="157.55000000000001"/>
    <x v="11"/>
    <x v="3"/>
  </r>
  <r>
    <n v="11054"/>
    <s v="CACTU"/>
    <x v="105"/>
    <d v="2018-05-26T00:00:00"/>
    <m/>
    <s v="Speed Express"/>
    <n v="1.6500000000000001"/>
    <x v="11"/>
    <x v="4"/>
  </r>
  <r>
    <n v="10259"/>
    <s v="CENTC"/>
    <x v="106"/>
    <d v="2016-08-15T00:00:00"/>
    <d v="2016-07-25T00:00:00"/>
    <s v="Inland Shipping"/>
    <n v="16.25"/>
    <x v="12"/>
    <x v="11"/>
  </r>
  <r>
    <n v="10254"/>
    <s v="CHOPS"/>
    <x v="107"/>
    <d v="2016-08-08T00:00:00"/>
    <d v="2016-07-23T00:00:00"/>
    <s v="Natioanl Package"/>
    <n v="114.9"/>
    <x v="13"/>
    <x v="11"/>
  </r>
  <r>
    <n v="10370"/>
    <s v="CHOPS"/>
    <x v="108"/>
    <d v="2016-12-31T00:00:00"/>
    <d v="2016-12-27T00:00:00"/>
    <s v="Natioanl Package"/>
    <n v="5.85"/>
    <x v="13"/>
    <x v="9"/>
  </r>
  <r>
    <n v="10519"/>
    <s v="CHOPS"/>
    <x v="109"/>
    <d v="2017-05-26T00:00:00"/>
    <d v="2017-05-01T00:00:00"/>
    <s v="Inland Shipping"/>
    <n v="458.8"/>
    <x v="13"/>
    <x v="4"/>
  </r>
  <r>
    <n v="10731"/>
    <s v="CHOPS"/>
    <x v="74"/>
    <d v="2017-12-04T00:00:00"/>
    <d v="2017-11-14T00:00:00"/>
    <s v="Speed Express"/>
    <n v="483.25"/>
    <x v="13"/>
    <x v="6"/>
  </r>
  <r>
    <n v="10746"/>
    <s v="CHOPS"/>
    <x v="110"/>
    <d v="2017-12-17T00:00:00"/>
    <d v="2017-11-21T00:00:00"/>
    <s v="Inland Shipping"/>
    <n v="157.15"/>
    <x v="13"/>
    <x v="6"/>
  </r>
  <r>
    <n v="10966"/>
    <s v="CHOPS"/>
    <x v="111"/>
    <d v="2018-04-17T00:00:00"/>
    <d v="2018-04-08T00:00:00"/>
    <s v="Speed Express"/>
    <n v="135.95000000000002"/>
    <x v="13"/>
    <x v="3"/>
  </r>
  <r>
    <n v="11029"/>
    <s v="CHOPS"/>
    <x v="90"/>
    <d v="2018-05-14T00:00:00"/>
    <d v="2018-04-27T00:00:00"/>
    <s v="Speed Express"/>
    <n v="239.20000000000002"/>
    <x v="13"/>
    <x v="4"/>
  </r>
  <r>
    <n v="11041"/>
    <s v="CHOPS"/>
    <x v="112"/>
    <d v="2018-05-20T00:00:00"/>
    <d v="2018-04-28T00:00:00"/>
    <s v="Natioanl Package"/>
    <n v="241.1"/>
    <x v="13"/>
    <x v="4"/>
  </r>
  <r>
    <n v="10290"/>
    <s v="COMMI"/>
    <x v="113"/>
    <d v="2016-09-24T00:00:00"/>
    <d v="2016-09-03T00:00:00"/>
    <s v="Speed Express"/>
    <n v="398.5"/>
    <x v="14"/>
    <x v="0"/>
  </r>
  <r>
    <n v="10466"/>
    <s v="COMMI"/>
    <x v="114"/>
    <d v="2017-04-03T00:00:00"/>
    <d v="2017-03-13T00:00:00"/>
    <s v="Speed Express"/>
    <n v="59.65"/>
    <x v="14"/>
    <x v="3"/>
  </r>
  <r>
    <n v="10494"/>
    <s v="COMMI"/>
    <x v="115"/>
    <d v="2017-04-30T00:00:00"/>
    <d v="2017-04-09T00:00:00"/>
    <s v="Natioanl Package"/>
    <n v="329.95"/>
    <x v="14"/>
    <x v="4"/>
  </r>
  <r>
    <n v="10969"/>
    <s v="COMMI"/>
    <x v="116"/>
    <d v="2018-04-20T00:00:00"/>
    <d v="2018-03-30T00:00:00"/>
    <s v="Natioanl Package"/>
    <n v="1.05"/>
    <x v="14"/>
    <x v="3"/>
  </r>
  <r>
    <n v="11042"/>
    <s v="COMMI"/>
    <x v="112"/>
    <d v="2018-05-06T00:00:00"/>
    <d v="2018-05-01T00:00:00"/>
    <s v="Speed Express"/>
    <n v="149.94999999999999"/>
    <x v="14"/>
    <x v="4"/>
  </r>
  <r>
    <n v="10435"/>
    <s v="CONSH"/>
    <x v="117"/>
    <d v="2017-03-18T00:00:00"/>
    <d v="2017-02-07T00:00:00"/>
    <s v="Natioanl Package"/>
    <n v="46.050000000000004"/>
    <x v="15"/>
    <x v="10"/>
  </r>
  <r>
    <n v="10462"/>
    <s v="CONSH"/>
    <x v="118"/>
    <d v="2017-03-31T00:00:00"/>
    <d v="2017-03-18T00:00:00"/>
    <s v="Speed Express"/>
    <n v="30.85"/>
    <x v="15"/>
    <x v="3"/>
  </r>
  <r>
    <n v="10848"/>
    <s v="CONSH"/>
    <x v="119"/>
    <d v="2018-02-20T00:00:00"/>
    <d v="2018-01-29T00:00:00"/>
    <s v="Natioanl Package"/>
    <n v="191.20000000000002"/>
    <x v="15"/>
    <x v="2"/>
  </r>
  <r>
    <n v="10363"/>
    <s v="DRACD"/>
    <x v="120"/>
    <d v="2016-12-24T00:00:00"/>
    <d v="2016-12-04T00:00:00"/>
    <s v="Inland Shipping"/>
    <n v="152.69999999999999"/>
    <x v="16"/>
    <x v="6"/>
  </r>
  <r>
    <n v="10391"/>
    <s v="DRACD"/>
    <x v="121"/>
    <d v="2017-01-20T00:00:00"/>
    <d v="2016-12-31T00:00:00"/>
    <s v="Inland Shipping"/>
    <n v="27.25"/>
    <x v="16"/>
    <x v="9"/>
  </r>
  <r>
    <n v="10797"/>
    <s v="DRACD"/>
    <x v="122"/>
    <d v="2018-01-22T00:00:00"/>
    <d v="2018-01-05T00:00:00"/>
    <s v="Natioanl Package"/>
    <n v="166.75"/>
    <x v="16"/>
    <x v="9"/>
  </r>
  <r>
    <n v="10825"/>
    <s v="DRACD"/>
    <x v="123"/>
    <d v="2018-02-06T00:00:00"/>
    <d v="2018-01-14T00:00:00"/>
    <s v="Speed Express"/>
    <n v="396.25"/>
    <x v="16"/>
    <x v="2"/>
  </r>
  <r>
    <n v="11036"/>
    <s v="DRACD"/>
    <x v="124"/>
    <d v="2018-05-18T00:00:00"/>
    <d v="2018-04-22T00:00:00"/>
    <s v="Inland Shipping"/>
    <n v="747.35"/>
    <x v="16"/>
    <x v="4"/>
  </r>
  <r>
    <n v="11067"/>
    <s v="DRACD"/>
    <x v="125"/>
    <d v="2018-05-18T00:00:00"/>
    <d v="2018-05-06T00:00:00"/>
    <s v="Natioanl Package"/>
    <n v="39.900000000000006"/>
    <x v="16"/>
    <x v="7"/>
  </r>
  <r>
    <n v="10311"/>
    <s v="DUMON"/>
    <x v="126"/>
    <d v="2016-10-04T00:00:00"/>
    <d v="2016-09-26T00:00:00"/>
    <s v="Inland Shipping"/>
    <n v="123.45"/>
    <x v="17"/>
    <x v="5"/>
  </r>
  <r>
    <n v="10609"/>
    <s v="DUMON"/>
    <x v="127"/>
    <d v="2017-08-21T00:00:00"/>
    <d v="2017-07-30T00:00:00"/>
    <s v="Natioanl Package"/>
    <n v="9.25"/>
    <x v="17"/>
    <x v="11"/>
  </r>
  <r>
    <n v="10683"/>
    <s v="DUMON"/>
    <x v="128"/>
    <d v="2017-10-24T00:00:00"/>
    <d v="2017-10-01T00:00:00"/>
    <s v="Speed Express"/>
    <n v="22"/>
    <x v="17"/>
    <x v="5"/>
  </r>
  <r>
    <n v="10890"/>
    <s v="DUMON"/>
    <x v="129"/>
    <d v="2018-03-16T00:00:00"/>
    <d v="2018-02-18T00:00:00"/>
    <s v="Speed Express"/>
    <n v="163.79999999999998"/>
    <x v="17"/>
    <x v="10"/>
  </r>
  <r>
    <n v="10364"/>
    <s v="EASTC"/>
    <x v="120"/>
    <d v="2017-01-07T00:00:00"/>
    <d v="2016-12-04T00:00:00"/>
    <s v="Speed Express"/>
    <n v="359.85"/>
    <x v="18"/>
    <x v="6"/>
  </r>
  <r>
    <n v="10400"/>
    <s v="EASTC"/>
    <x v="130"/>
    <d v="2017-01-29T00:00:00"/>
    <d v="2017-01-16T00:00:00"/>
    <s v="Inland Shipping"/>
    <n v="419.65000000000003"/>
    <x v="18"/>
    <x v="2"/>
  </r>
  <r>
    <n v="10532"/>
    <s v="EASTC"/>
    <x v="131"/>
    <d v="2017-06-06T00:00:00"/>
    <d v="2017-05-12T00:00:00"/>
    <s v="Inland Shipping"/>
    <n v="372.29999999999995"/>
    <x v="18"/>
    <x v="7"/>
  </r>
  <r>
    <n v="10726"/>
    <s v="EASTC"/>
    <x v="132"/>
    <d v="2017-11-17T00:00:00"/>
    <d v="2017-12-05T00:00:00"/>
    <s v="Speed Express"/>
    <n v="82.8"/>
    <x v="18"/>
    <x v="6"/>
  </r>
  <r>
    <n v="10987"/>
    <s v="EASTC"/>
    <x v="133"/>
    <d v="2018-04-28T00:00:00"/>
    <d v="2018-04-06T00:00:00"/>
    <s v="Speed Express"/>
    <n v="927.4"/>
    <x v="18"/>
    <x v="3"/>
  </r>
  <r>
    <n v="11024"/>
    <s v="EASTC"/>
    <x v="134"/>
    <d v="2018-05-13T00:00:00"/>
    <d v="2018-04-20T00:00:00"/>
    <s v="Speed Express"/>
    <n v="371.8"/>
    <x v="18"/>
    <x v="4"/>
  </r>
  <r>
    <n v="11047"/>
    <s v="EASTC"/>
    <x v="92"/>
    <d v="2018-05-22T00:00:00"/>
    <d v="2018-05-01T00:00:00"/>
    <s v="Inland Shipping"/>
    <n v="233.1"/>
    <x v="18"/>
    <x v="4"/>
  </r>
  <r>
    <n v="11056"/>
    <s v="EASTC"/>
    <x v="105"/>
    <d v="2018-05-12T00:00:00"/>
    <d v="2018-05-01T00:00:00"/>
    <s v="Natioanl Package"/>
    <n v="1394.8"/>
    <x v="18"/>
    <x v="4"/>
  </r>
  <r>
    <n v="10258"/>
    <s v="ERNSH"/>
    <x v="135"/>
    <d v="2016-08-14T00:00:00"/>
    <d v="2016-07-23T00:00:00"/>
    <s v="Speed Express"/>
    <n v="702.55"/>
    <x v="19"/>
    <x v="11"/>
  </r>
  <r>
    <n v="10263"/>
    <s v="ERNSH"/>
    <x v="136"/>
    <d v="2016-08-20T00:00:00"/>
    <d v="2016-07-31T00:00:00"/>
    <s v="Inland Shipping"/>
    <n v="730.3"/>
    <x v="19"/>
    <x v="11"/>
  </r>
  <r>
    <n v="10351"/>
    <s v="ERNSH"/>
    <x v="137"/>
    <d v="2016-12-09T00:00:00"/>
    <d v="2016-11-20T00:00:00"/>
    <s v="Speed Express"/>
    <n v="811.65000000000009"/>
    <x v="19"/>
    <x v="6"/>
  </r>
  <r>
    <n v="10368"/>
    <s v="ERNSH"/>
    <x v="138"/>
    <d v="2016-12-27T00:00:00"/>
    <d v="2016-12-02T00:00:00"/>
    <s v="Natioanl Package"/>
    <n v="509.75"/>
    <x v="19"/>
    <x v="6"/>
  </r>
  <r>
    <n v="10382"/>
    <s v="ERNSH"/>
    <x v="139"/>
    <d v="2017-01-10T00:00:00"/>
    <d v="2016-12-16T00:00:00"/>
    <s v="Speed Express"/>
    <n v="473.84999999999997"/>
    <x v="19"/>
    <x v="9"/>
  </r>
  <r>
    <n v="10390"/>
    <s v="ERNSH"/>
    <x v="121"/>
    <d v="2017-01-20T00:00:00"/>
    <d v="2016-12-26T00:00:00"/>
    <s v="Speed Express"/>
    <n v="631.9"/>
    <x v="19"/>
    <x v="9"/>
  </r>
  <r>
    <n v="10402"/>
    <s v="ERNSH"/>
    <x v="140"/>
    <d v="2017-02-13T00:00:00"/>
    <d v="2017-01-10T00:00:00"/>
    <s v="Natioanl Package"/>
    <n v="339.4"/>
    <x v="19"/>
    <x v="2"/>
  </r>
  <r>
    <n v="10403"/>
    <s v="ERNSH"/>
    <x v="141"/>
    <d v="2017-01-31T00:00:00"/>
    <d v="2017-01-09T00:00:00"/>
    <s v="Inland Shipping"/>
    <n v="368.95000000000005"/>
    <x v="19"/>
    <x v="2"/>
  </r>
  <r>
    <n v="10430"/>
    <s v="ERNSH"/>
    <x v="83"/>
    <d v="2017-02-13T00:00:00"/>
    <d v="2017-02-03T00:00:00"/>
    <s v="Speed Express"/>
    <n v="2293.8999999999996"/>
    <x v="19"/>
    <x v="2"/>
  </r>
  <r>
    <n v="10442"/>
    <s v="ERNSH"/>
    <x v="142"/>
    <d v="2017-03-11T00:00:00"/>
    <d v="2017-02-18T00:00:00"/>
    <s v="Natioanl Package"/>
    <n v="239.7"/>
    <x v="19"/>
    <x v="10"/>
  </r>
  <r>
    <n v="10514"/>
    <s v="ERNSH"/>
    <x v="143"/>
    <d v="2017-05-20T00:00:00"/>
    <d v="2017-05-16T00:00:00"/>
    <s v="Natioanl Package"/>
    <n v="3949.75"/>
    <x v="19"/>
    <x v="4"/>
  </r>
  <r>
    <n v="10571"/>
    <s v="ERNSH"/>
    <x v="144"/>
    <d v="2017-07-29T00:00:00"/>
    <d v="2017-07-04T00:00:00"/>
    <s v="Inland Shipping"/>
    <n v="130.29999999999998"/>
    <x v="19"/>
    <x v="8"/>
  </r>
  <r>
    <n v="10595"/>
    <s v="ERNSH"/>
    <x v="145"/>
    <d v="2017-08-07T00:00:00"/>
    <d v="2017-07-14T00:00:00"/>
    <s v="Speed Express"/>
    <n v="483.9"/>
    <x v="19"/>
    <x v="11"/>
  </r>
  <r>
    <n v="10633"/>
    <s v="ERNSH"/>
    <x v="146"/>
    <d v="2017-09-12T00:00:00"/>
    <d v="2017-08-18T00:00:00"/>
    <s v="Inland Shipping"/>
    <n v="2389.5"/>
    <x v="19"/>
    <x v="0"/>
  </r>
  <r>
    <n v="10667"/>
    <s v="ERNSH"/>
    <x v="147"/>
    <d v="2017-10-10T00:00:00"/>
    <d v="2017-09-19T00:00:00"/>
    <s v="Speed Express"/>
    <n v="390.45000000000005"/>
    <x v="19"/>
    <x v="5"/>
  </r>
  <r>
    <n v="10698"/>
    <s v="ERNSH"/>
    <x v="148"/>
    <d v="2017-11-06T00:00:00"/>
    <d v="2017-10-17T00:00:00"/>
    <s v="Speed Express"/>
    <n v="1362.3500000000001"/>
    <x v="19"/>
    <x v="1"/>
  </r>
  <r>
    <n v="10764"/>
    <s v="ERNSH"/>
    <x v="149"/>
    <d v="2017-12-31T00:00:00"/>
    <d v="2017-12-08T00:00:00"/>
    <s v="Inland Shipping"/>
    <n v="727.25"/>
    <x v="19"/>
    <x v="9"/>
  </r>
  <r>
    <n v="10771"/>
    <s v="ERNSH"/>
    <x v="150"/>
    <d v="2018-01-07T00:00:00"/>
    <d v="2018-01-02T00:00:00"/>
    <s v="Natioanl Package"/>
    <n v="55.949999999999996"/>
    <x v="19"/>
    <x v="9"/>
  </r>
  <r>
    <n v="10773"/>
    <s v="ERNSH"/>
    <x v="151"/>
    <d v="2018-01-08T00:00:00"/>
    <d v="2017-12-16T00:00:00"/>
    <s v="Inland Shipping"/>
    <n v="482.15000000000003"/>
    <x v="19"/>
    <x v="9"/>
  </r>
  <r>
    <n v="10776"/>
    <s v="ERNSH"/>
    <x v="152"/>
    <d v="2018-01-12T00:00:00"/>
    <d v="2017-12-18T00:00:00"/>
    <s v="Inland Shipping"/>
    <n v="1757.6499999999999"/>
    <x v="19"/>
    <x v="9"/>
  </r>
  <r>
    <n v="10795"/>
    <s v="ERNSH"/>
    <x v="25"/>
    <d v="2018-01-21T00:00:00"/>
    <d v="2018-01-20T00:00:00"/>
    <s v="Natioanl Package"/>
    <n v="633.29999999999995"/>
    <x v="19"/>
    <x v="9"/>
  </r>
  <r>
    <n v="10836"/>
    <s v="ERNSH"/>
    <x v="41"/>
    <d v="2018-02-13T00:00:00"/>
    <d v="2018-01-21T00:00:00"/>
    <s v="Speed Express"/>
    <n v="2059.4"/>
    <x v="19"/>
    <x v="2"/>
  </r>
  <r>
    <n v="10854"/>
    <s v="ERNSH"/>
    <x v="48"/>
    <d v="2018-02-24T00:00:00"/>
    <d v="2018-02-05T00:00:00"/>
    <s v="Natioanl Package"/>
    <n v="501.1"/>
    <x v="19"/>
    <x v="2"/>
  </r>
  <r>
    <n v="10895"/>
    <s v="ERNSH"/>
    <x v="153"/>
    <d v="2018-03-18T00:00:00"/>
    <d v="2018-02-23T00:00:00"/>
    <s v="Speed Express"/>
    <n v="813.75"/>
    <x v="19"/>
    <x v="10"/>
  </r>
  <r>
    <n v="10968"/>
    <s v="ERNSH"/>
    <x v="116"/>
    <d v="2018-04-20T00:00:00"/>
    <d v="2018-04-01T00:00:00"/>
    <s v="Inland Shipping"/>
    <n v="373"/>
    <x v="19"/>
    <x v="3"/>
  </r>
  <r>
    <n v="10979"/>
    <s v="ERNSH"/>
    <x v="154"/>
    <d v="2018-04-23T00:00:00"/>
    <d v="2018-03-31T00:00:00"/>
    <s v="Natioanl Package"/>
    <n v="1765.35"/>
    <x v="19"/>
    <x v="3"/>
  </r>
  <r>
    <n v="10990"/>
    <s v="ERNSH"/>
    <x v="155"/>
    <d v="2018-05-13T00:00:00"/>
    <d v="2018-04-07T00:00:00"/>
    <s v="Inland Shipping"/>
    <n v="588.04999999999995"/>
    <x v="19"/>
    <x v="4"/>
  </r>
  <r>
    <n v="11008"/>
    <s v="ERNSH"/>
    <x v="156"/>
    <d v="2018-05-06T00:00:00"/>
    <m/>
    <s v="Inland Shipping"/>
    <n v="397.29999999999995"/>
    <x v="19"/>
    <x v="4"/>
  </r>
  <r>
    <n v="11017"/>
    <s v="ERNSH"/>
    <x v="157"/>
    <d v="2018-05-11T00:00:00"/>
    <d v="2018-04-20T00:00:00"/>
    <s v="Natioanl Package"/>
    <n v="3771.3"/>
    <x v="19"/>
    <x v="4"/>
  </r>
  <r>
    <n v="11072"/>
    <s v="ERNSH"/>
    <x v="158"/>
    <d v="2018-06-02T00:00:00"/>
    <m/>
    <s v="Natioanl Package"/>
    <n v="1293.1999999999998"/>
    <x v="19"/>
    <x v="7"/>
  </r>
  <r>
    <n v="10347"/>
    <s v="FAMIA"/>
    <x v="159"/>
    <d v="2016-12-04T00:00:00"/>
    <d v="2016-11-08T00:00:00"/>
    <s v="Inland Shipping"/>
    <n v="15.5"/>
    <x v="20"/>
    <x v="6"/>
  </r>
  <r>
    <n v="10386"/>
    <s v="FAMIA"/>
    <x v="160"/>
    <d v="2017-01-01T00:00:00"/>
    <d v="2016-12-25T00:00:00"/>
    <s v="Inland Shipping"/>
    <n v="69.95"/>
    <x v="20"/>
    <x v="9"/>
  </r>
  <r>
    <n v="10414"/>
    <s v="FAMIA"/>
    <x v="161"/>
    <d v="2017-02-11T00:00:00"/>
    <d v="2017-01-17T00:00:00"/>
    <s v="Inland Shipping"/>
    <n v="107.4"/>
    <x v="20"/>
    <x v="2"/>
  </r>
  <r>
    <n v="10512"/>
    <s v="FAMIA"/>
    <x v="162"/>
    <d v="2017-05-19T00:00:00"/>
    <d v="2017-04-24T00:00:00"/>
    <s v="Natioanl Package"/>
    <n v="17.649999999999999"/>
    <x v="20"/>
    <x v="4"/>
  </r>
  <r>
    <n v="10581"/>
    <s v="FAMIA"/>
    <x v="163"/>
    <d v="2017-07-24T00:00:00"/>
    <d v="2017-07-02T00:00:00"/>
    <s v="Speed Express"/>
    <n v="15.049999999999999"/>
    <x v="20"/>
    <x v="8"/>
  </r>
  <r>
    <n v="10650"/>
    <s v="FAMIA"/>
    <x v="164"/>
    <d v="2017-09-26T00:00:00"/>
    <d v="2017-09-03T00:00:00"/>
    <s v="Inland Shipping"/>
    <n v="884.05"/>
    <x v="20"/>
    <x v="0"/>
  </r>
  <r>
    <n v="10725"/>
    <s v="FAMIA"/>
    <x v="165"/>
    <d v="2017-11-28T00:00:00"/>
    <d v="2017-11-05T00:00:00"/>
    <s v="Inland Shipping"/>
    <n v="54.15"/>
    <x v="20"/>
    <x v="1"/>
  </r>
  <r>
    <n v="10408"/>
    <s v="FOLIG"/>
    <x v="166"/>
    <d v="2017-02-05T00:00:00"/>
    <d v="2017-01-14T00:00:00"/>
    <s v="Speed Express"/>
    <n v="56.3"/>
    <x v="21"/>
    <x v="2"/>
  </r>
  <r>
    <n v="10480"/>
    <s v="FOLIG"/>
    <x v="167"/>
    <d v="2017-04-17T00:00:00"/>
    <d v="2017-03-24T00:00:00"/>
    <s v="Natioanl Package"/>
    <n v="6.75"/>
    <x v="21"/>
    <x v="3"/>
  </r>
  <r>
    <n v="10634"/>
    <s v="FOLIG"/>
    <x v="146"/>
    <d v="2017-09-12T00:00:00"/>
    <d v="2017-08-21T00:00:00"/>
    <s v="Inland Shipping"/>
    <n v="2436.9"/>
    <x v="21"/>
    <x v="0"/>
  </r>
  <r>
    <n v="10763"/>
    <s v="FOLIG"/>
    <x v="149"/>
    <d v="2017-12-31T00:00:00"/>
    <d v="2017-12-08T00:00:00"/>
    <s v="Inland Shipping"/>
    <n v="186.75"/>
    <x v="21"/>
    <x v="9"/>
  </r>
  <r>
    <n v="10789"/>
    <s v="FOLIG"/>
    <x v="168"/>
    <d v="2018-01-19T00:00:00"/>
    <d v="2017-12-31T00:00:00"/>
    <s v="Natioanl Package"/>
    <n v="503"/>
    <x v="21"/>
    <x v="9"/>
  </r>
  <r>
    <n v="10264"/>
    <s v="FOLKO"/>
    <x v="169"/>
    <d v="2016-08-21T00:00:00"/>
    <d v="2016-08-23T00:00:00"/>
    <s v="Inland Shipping"/>
    <n v="18.350000000000001"/>
    <x v="22"/>
    <x v="11"/>
  </r>
  <r>
    <n v="10327"/>
    <s v="FOLKO"/>
    <x v="170"/>
    <d v="2016-11-08T00:00:00"/>
    <d v="2016-10-14T00:00:00"/>
    <s v="Speed Express"/>
    <n v="316.8"/>
    <x v="22"/>
    <x v="1"/>
  </r>
  <r>
    <n v="10378"/>
    <s v="FOLKO"/>
    <x v="171"/>
    <d v="2017-01-07T00:00:00"/>
    <d v="2016-12-19T00:00:00"/>
    <s v="Inland Shipping"/>
    <n v="27.200000000000003"/>
    <x v="22"/>
    <x v="9"/>
  </r>
  <r>
    <n v="10434"/>
    <s v="FOLKO"/>
    <x v="172"/>
    <d v="2017-03-03T00:00:00"/>
    <d v="2017-02-13T00:00:00"/>
    <s v="Natioanl Package"/>
    <n v="89.600000000000009"/>
    <x v="22"/>
    <x v="10"/>
  </r>
  <r>
    <n v="10460"/>
    <s v="FOLKO"/>
    <x v="173"/>
    <d v="2017-03-28T00:00:00"/>
    <d v="2017-03-03T00:00:00"/>
    <s v="Speed Express"/>
    <n v="81.349999999999994"/>
    <x v="22"/>
    <x v="10"/>
  </r>
  <r>
    <n v="10533"/>
    <s v="FOLKO"/>
    <x v="174"/>
    <d v="2017-06-09T00:00:00"/>
    <d v="2017-05-22T00:00:00"/>
    <s v="Speed Express"/>
    <n v="940.19999999999993"/>
    <x v="22"/>
    <x v="7"/>
  </r>
  <r>
    <n v="10561"/>
    <s v="FOLKO"/>
    <x v="175"/>
    <d v="2017-07-04T00:00:00"/>
    <d v="2017-06-09T00:00:00"/>
    <s v="Natioanl Package"/>
    <n v="1211.05"/>
    <x v="22"/>
    <x v="8"/>
  </r>
  <r>
    <n v="10703"/>
    <s v="FOLKO"/>
    <x v="176"/>
    <d v="2017-11-11T00:00:00"/>
    <d v="2017-10-20T00:00:00"/>
    <s v="Natioanl Package"/>
    <n v="761.5"/>
    <x v="22"/>
    <x v="1"/>
  </r>
  <r>
    <n v="10762"/>
    <s v="FOLKO"/>
    <x v="177"/>
    <d v="2017-12-30T00:00:00"/>
    <d v="2017-12-09T00:00:00"/>
    <s v="Speed Express"/>
    <n v="1643.7"/>
    <x v="22"/>
    <x v="9"/>
  </r>
  <r>
    <n v="10774"/>
    <s v="FOLKO"/>
    <x v="151"/>
    <d v="2017-12-25T00:00:00"/>
    <d v="2017-12-12T00:00:00"/>
    <s v="Speed Express"/>
    <n v="241"/>
    <x v="22"/>
    <x v="9"/>
  </r>
  <r>
    <n v="10824"/>
    <s v="FOLKO"/>
    <x v="123"/>
    <d v="2018-02-06T00:00:00"/>
    <d v="2018-01-30T00:00:00"/>
    <s v="Speed Express"/>
    <n v="6.15"/>
    <x v="22"/>
    <x v="2"/>
  </r>
  <r>
    <n v="10880"/>
    <s v="FOLKO"/>
    <x v="178"/>
    <d v="2018-03-24T00:00:00"/>
    <d v="2018-02-18T00:00:00"/>
    <s v="Speed Express"/>
    <n v="440.05"/>
    <x v="22"/>
    <x v="10"/>
  </r>
  <r>
    <n v="10902"/>
    <s v="FOLKO"/>
    <x v="179"/>
    <d v="2018-03-23T00:00:00"/>
    <d v="2018-03-03T00:00:00"/>
    <s v="Speed Express"/>
    <n v="220.75"/>
    <x v="22"/>
    <x v="10"/>
  </r>
  <r>
    <n v="10955"/>
    <s v="FOLKO"/>
    <x v="49"/>
    <d v="2018-04-14T00:00:00"/>
    <d v="2018-03-20T00:00:00"/>
    <s v="Natioanl Package"/>
    <n v="16.299999999999997"/>
    <x v="22"/>
    <x v="3"/>
  </r>
  <r>
    <n v="10977"/>
    <s v="FOLKO"/>
    <x v="154"/>
    <d v="2018-04-23T00:00:00"/>
    <d v="2018-04-10T00:00:00"/>
    <s v="Inland Shipping"/>
    <n v="1042.5"/>
    <x v="22"/>
    <x v="3"/>
  </r>
  <r>
    <n v="10980"/>
    <s v="FOLKO"/>
    <x v="89"/>
    <d v="2018-05-08T00:00:00"/>
    <d v="2018-04-17T00:00:00"/>
    <s v="Speed Express"/>
    <n v="6.3"/>
    <x v="22"/>
    <x v="3"/>
  </r>
  <r>
    <n v="10993"/>
    <s v="FOLKO"/>
    <x v="155"/>
    <d v="2018-04-29T00:00:00"/>
    <d v="2018-04-10T00:00:00"/>
    <s v="Inland Shipping"/>
    <n v="44.050000000000004"/>
    <x v="22"/>
    <x v="4"/>
  </r>
  <r>
    <n v="11001"/>
    <s v="FOLKO"/>
    <x v="180"/>
    <d v="2018-05-04T00:00:00"/>
    <d v="2018-04-14T00:00:00"/>
    <s v="Natioanl Package"/>
    <n v="986.5"/>
    <x v="22"/>
    <x v="4"/>
  </r>
  <r>
    <n v="11050"/>
    <s v="FOLKO"/>
    <x v="181"/>
    <d v="2018-05-25T00:00:00"/>
    <d v="2018-05-05T00:00:00"/>
    <s v="Natioanl Package"/>
    <n v="297.04999999999995"/>
    <x v="22"/>
    <x v="4"/>
  </r>
  <r>
    <n v="10267"/>
    <s v="FRANK"/>
    <x v="182"/>
    <d v="2016-08-26T00:00:00"/>
    <d v="2016-08-06T00:00:00"/>
    <s v="Speed Express"/>
    <n v="1042.9000000000001"/>
    <x v="23"/>
    <x v="11"/>
  </r>
  <r>
    <n v="10337"/>
    <s v="FRANK"/>
    <x v="183"/>
    <d v="2016-11-21T00:00:00"/>
    <d v="2016-10-29T00:00:00"/>
    <s v="Inland Shipping"/>
    <n v="541.30000000000007"/>
    <x v="23"/>
    <x v="1"/>
  </r>
  <r>
    <n v="10342"/>
    <s v="FRANK"/>
    <x v="184"/>
    <d v="2016-11-13T00:00:00"/>
    <d v="2016-11-04T00:00:00"/>
    <s v="Natioanl Package"/>
    <n v="274.14999999999998"/>
    <x v="23"/>
    <x v="1"/>
  </r>
  <r>
    <n v="10396"/>
    <s v="FRANK"/>
    <x v="185"/>
    <d v="2017-01-10T00:00:00"/>
    <d v="2017-01-06T00:00:00"/>
    <s v="Inland Shipping"/>
    <n v="676.75"/>
    <x v="23"/>
    <x v="9"/>
  </r>
  <r>
    <n v="10488"/>
    <s v="FRANK"/>
    <x v="186"/>
    <d v="2017-04-24T00:00:00"/>
    <d v="2017-04-02T00:00:00"/>
    <s v="Natioanl Package"/>
    <n v="24.65"/>
    <x v="23"/>
    <x v="3"/>
  </r>
  <r>
    <n v="10560"/>
    <s v="FRANK"/>
    <x v="175"/>
    <d v="2017-07-04T00:00:00"/>
    <d v="2017-06-09T00:00:00"/>
    <s v="Speed Express"/>
    <n v="183.25"/>
    <x v="23"/>
    <x v="8"/>
  </r>
  <r>
    <n v="10623"/>
    <s v="FRANK"/>
    <x v="187"/>
    <d v="2017-09-04T00:00:00"/>
    <d v="2017-08-12T00:00:00"/>
    <s v="Natioanl Package"/>
    <n v="485.90000000000003"/>
    <x v="23"/>
    <x v="0"/>
  </r>
  <r>
    <n v="10653"/>
    <s v="FRANK"/>
    <x v="36"/>
    <d v="2017-09-30T00:00:00"/>
    <d v="2017-09-19T00:00:00"/>
    <s v="Speed Express"/>
    <n v="466.25"/>
    <x v="23"/>
    <x v="5"/>
  </r>
  <r>
    <n v="10670"/>
    <s v="FRANK"/>
    <x v="188"/>
    <d v="2017-10-14T00:00:00"/>
    <d v="2017-09-18T00:00:00"/>
    <s v="Speed Express"/>
    <n v="1017.4"/>
    <x v="23"/>
    <x v="5"/>
  </r>
  <r>
    <n v="10675"/>
    <s v="FRANK"/>
    <x v="189"/>
    <d v="2017-10-17T00:00:00"/>
    <d v="2017-09-23T00:00:00"/>
    <s v="Natioanl Package"/>
    <n v="159.25"/>
    <x v="23"/>
    <x v="5"/>
  </r>
  <r>
    <n v="10717"/>
    <s v="FRANK"/>
    <x v="190"/>
    <d v="2017-11-21T00:00:00"/>
    <d v="2017-10-29T00:00:00"/>
    <s v="Natioanl Package"/>
    <n v="296.25"/>
    <x v="23"/>
    <x v="1"/>
  </r>
  <r>
    <n v="10791"/>
    <s v="FRANK"/>
    <x v="191"/>
    <d v="2018-01-20T00:00:00"/>
    <d v="2018-01-01T00:00:00"/>
    <s v="Natioanl Package"/>
    <n v="84.25"/>
    <x v="23"/>
    <x v="9"/>
  </r>
  <r>
    <n v="10859"/>
    <s v="FRANK"/>
    <x v="192"/>
    <d v="2018-02-26T00:00:00"/>
    <d v="2018-02-02T00:00:00"/>
    <s v="Natioanl Package"/>
    <n v="380.5"/>
    <x v="23"/>
    <x v="2"/>
  </r>
  <r>
    <n v="10929"/>
    <s v="FRANK"/>
    <x v="193"/>
    <d v="2018-04-02T00:00:00"/>
    <d v="2018-03-12T00:00:00"/>
    <s v="Speed Express"/>
    <n v="169.65"/>
    <x v="23"/>
    <x v="3"/>
  </r>
  <r>
    <n v="11012"/>
    <s v="FRANK"/>
    <x v="5"/>
    <d v="2018-04-23T00:00:00"/>
    <d v="2018-04-17T00:00:00"/>
    <s v="Inland Shipping"/>
    <n v="1214.75"/>
    <x v="23"/>
    <x v="4"/>
  </r>
  <r>
    <n v="10671"/>
    <s v="FRANR"/>
    <x v="37"/>
    <d v="2017-10-15T00:00:00"/>
    <d v="2017-09-24T00:00:00"/>
    <s v="Speed Express"/>
    <n v="151.69999999999999"/>
    <x v="24"/>
    <x v="5"/>
  </r>
  <r>
    <n v="10860"/>
    <s v="FRANR"/>
    <x v="192"/>
    <d v="2018-02-26T00:00:00"/>
    <d v="2018-02-04T00:00:00"/>
    <s v="Inland Shipping"/>
    <n v="96.300000000000011"/>
    <x v="24"/>
    <x v="2"/>
  </r>
  <r>
    <n v="10971"/>
    <s v="FRANR"/>
    <x v="64"/>
    <d v="2018-04-21T00:00:00"/>
    <d v="2018-04-02T00:00:00"/>
    <s v="Natioanl Package"/>
    <n v="609.09999999999991"/>
    <x v="24"/>
    <x v="3"/>
  </r>
  <r>
    <n v="10422"/>
    <s v="FRANS"/>
    <x v="194"/>
    <d v="2017-02-19T00:00:00"/>
    <d v="2017-01-31T00:00:00"/>
    <s v="Speed Express"/>
    <n v="15.1"/>
    <x v="25"/>
    <x v="2"/>
  </r>
  <r>
    <n v="10710"/>
    <s v="FRANS"/>
    <x v="195"/>
    <d v="2017-11-17T00:00:00"/>
    <d v="2017-10-23T00:00:00"/>
    <s v="Speed Express"/>
    <n v="24.900000000000002"/>
    <x v="25"/>
    <x v="1"/>
  </r>
  <r>
    <n v="10753"/>
    <s v="FRANS"/>
    <x v="196"/>
    <d v="2017-12-23T00:00:00"/>
    <d v="2017-11-27T00:00:00"/>
    <s v="Speed Express"/>
    <n v="38.5"/>
    <x v="25"/>
    <x v="6"/>
  </r>
  <r>
    <n v="10807"/>
    <s v="FRANS"/>
    <x v="197"/>
    <d v="2018-01-28T00:00:00"/>
    <d v="2018-01-30T00:00:00"/>
    <s v="Speed Express"/>
    <n v="6.8000000000000007"/>
    <x v="25"/>
    <x v="9"/>
  </r>
  <r>
    <n v="11026"/>
    <s v="FRANS"/>
    <x v="134"/>
    <d v="2018-05-13T00:00:00"/>
    <d v="2018-04-28T00:00:00"/>
    <s v="Speed Express"/>
    <n v="235.45000000000002"/>
    <x v="25"/>
    <x v="4"/>
  </r>
  <r>
    <n v="11060"/>
    <s v="FRANS"/>
    <x v="198"/>
    <d v="2018-05-28T00:00:00"/>
    <d v="2018-05-04T00:00:00"/>
    <s v="Natioanl Package"/>
    <n v="54.900000000000006"/>
    <x v="25"/>
    <x v="4"/>
  </r>
  <r>
    <n v="10328"/>
    <s v="FURIB"/>
    <x v="199"/>
    <d v="2016-11-11T00:00:00"/>
    <d v="2016-10-17T00:00:00"/>
    <s v="Inland Shipping"/>
    <n v="435.15"/>
    <x v="26"/>
    <x v="1"/>
  </r>
  <r>
    <n v="10352"/>
    <s v="FURIB"/>
    <x v="200"/>
    <d v="2016-11-26T00:00:00"/>
    <d v="2016-11-18T00:00:00"/>
    <s v="Inland Shipping"/>
    <n v="6.5"/>
    <x v="26"/>
    <x v="6"/>
  </r>
  <r>
    <n v="10464"/>
    <s v="FURIB"/>
    <x v="201"/>
    <d v="2017-04-01T00:00:00"/>
    <d v="2017-03-14T00:00:00"/>
    <s v="Natioanl Package"/>
    <n v="445"/>
    <x v="26"/>
    <x v="3"/>
  </r>
  <r>
    <n v="10491"/>
    <s v="FURIB"/>
    <x v="202"/>
    <d v="2017-04-28T00:00:00"/>
    <d v="2017-04-08T00:00:00"/>
    <s v="Inland Shipping"/>
    <n v="84.800000000000011"/>
    <x v="26"/>
    <x v="3"/>
  </r>
  <r>
    <n v="10551"/>
    <s v="FURIB"/>
    <x v="203"/>
    <d v="2017-07-09T00:00:00"/>
    <d v="2017-06-06T00:00:00"/>
    <s v="Inland Shipping"/>
    <n v="364.75"/>
    <x v="26"/>
    <x v="7"/>
  </r>
  <r>
    <n v="10604"/>
    <s v="FURIB"/>
    <x v="204"/>
    <d v="2017-08-15T00:00:00"/>
    <d v="2017-07-29T00:00:00"/>
    <s v="Speed Express"/>
    <n v="37.299999999999997"/>
    <x v="26"/>
    <x v="11"/>
  </r>
  <r>
    <n v="10664"/>
    <s v="FURIB"/>
    <x v="71"/>
    <d v="2017-10-08T00:00:00"/>
    <d v="2017-09-19T00:00:00"/>
    <s v="Inland Shipping"/>
    <n v="6.35"/>
    <x v="26"/>
    <x v="5"/>
  </r>
  <r>
    <n v="10963"/>
    <s v="FURIB"/>
    <x v="205"/>
    <d v="2018-04-16T00:00:00"/>
    <d v="2018-03-26T00:00:00"/>
    <s v="Inland Shipping"/>
    <n v="13.5"/>
    <x v="26"/>
    <x v="3"/>
  </r>
  <r>
    <n v="10366"/>
    <s v="GALED"/>
    <x v="206"/>
    <d v="2017-01-09T00:00:00"/>
    <d v="2016-12-30T00:00:00"/>
    <s v="Natioanl Package"/>
    <n v="50.7"/>
    <x v="27"/>
    <x v="6"/>
  </r>
  <r>
    <n v="10426"/>
    <s v="GALED"/>
    <x v="207"/>
    <d v="2017-02-24T00:00:00"/>
    <d v="2017-02-06T00:00:00"/>
    <s v="Speed Express"/>
    <n v="93.45"/>
    <x v="27"/>
    <x v="2"/>
  </r>
  <r>
    <n v="10568"/>
    <s v="GALED"/>
    <x v="208"/>
    <d v="2017-07-11T00:00:00"/>
    <d v="2017-07-09T00:00:00"/>
    <s v="Inland Shipping"/>
    <n v="32.700000000000003"/>
    <x v="27"/>
    <x v="8"/>
  </r>
  <r>
    <n v="10887"/>
    <s v="GALED"/>
    <x v="209"/>
    <d v="2018-03-13T00:00:00"/>
    <d v="2018-02-16T00:00:00"/>
    <s v="Inland Shipping"/>
    <n v="6.25"/>
    <x v="27"/>
    <x v="10"/>
  </r>
  <r>
    <n v="10928"/>
    <s v="GALED"/>
    <x v="193"/>
    <d v="2018-04-02T00:00:00"/>
    <d v="2018-03-18T00:00:00"/>
    <s v="Speed Express"/>
    <n v="6.8000000000000007"/>
    <x v="27"/>
    <x v="3"/>
  </r>
  <r>
    <n v="10303"/>
    <s v="GODOS"/>
    <x v="210"/>
    <d v="2016-10-09T00:00:00"/>
    <d v="2016-09-18T00:00:00"/>
    <s v="Natioanl Package"/>
    <n v="539.15"/>
    <x v="28"/>
    <x v="5"/>
  </r>
  <r>
    <n v="10550"/>
    <s v="GODOS"/>
    <x v="203"/>
    <d v="2017-06-25T00:00:00"/>
    <d v="2017-06-06T00:00:00"/>
    <s v="Inland Shipping"/>
    <n v="21.6"/>
    <x v="28"/>
    <x v="7"/>
  </r>
  <r>
    <n v="10629"/>
    <s v="GODOS"/>
    <x v="59"/>
    <d v="2017-09-09T00:00:00"/>
    <d v="2017-08-20T00:00:00"/>
    <s v="Inland Shipping"/>
    <n v="427.29999999999995"/>
    <x v="28"/>
    <x v="0"/>
  </r>
  <r>
    <n v="10872"/>
    <s v="GODOS"/>
    <x v="76"/>
    <d v="2018-03-05T00:00:00"/>
    <d v="2018-02-09T00:00:00"/>
    <s v="Natioanl Package"/>
    <n v="876.59999999999991"/>
    <x v="28"/>
    <x v="10"/>
  </r>
  <r>
    <n v="10874"/>
    <s v="GODOS"/>
    <x v="43"/>
    <d v="2018-03-06T00:00:00"/>
    <d v="2018-02-11T00:00:00"/>
    <s v="Natioanl Package"/>
    <n v="97.899999999999991"/>
    <x v="28"/>
    <x v="10"/>
  </r>
  <r>
    <n v="10888"/>
    <s v="GODOS"/>
    <x v="129"/>
    <d v="2018-03-16T00:00:00"/>
    <d v="2018-02-23T00:00:00"/>
    <s v="Natioanl Package"/>
    <n v="259.34999999999997"/>
    <x v="28"/>
    <x v="10"/>
  </r>
  <r>
    <n v="10911"/>
    <s v="GODOS"/>
    <x v="211"/>
    <d v="2018-03-26T00:00:00"/>
    <d v="2018-03-05T00:00:00"/>
    <s v="Speed Express"/>
    <n v="190.95"/>
    <x v="28"/>
    <x v="10"/>
  </r>
  <r>
    <n v="10948"/>
    <s v="GODOS"/>
    <x v="87"/>
    <d v="2018-04-10T00:00:00"/>
    <d v="2018-03-19T00:00:00"/>
    <s v="Inland Shipping"/>
    <n v="116.95"/>
    <x v="28"/>
    <x v="3"/>
  </r>
  <r>
    <n v="11009"/>
    <s v="GODOS"/>
    <x v="156"/>
    <d v="2018-05-06T00:00:00"/>
    <d v="2018-04-10T00:00:00"/>
    <s v="Speed Express"/>
    <n v="295.55"/>
    <x v="28"/>
    <x v="4"/>
  </r>
  <r>
    <n v="11037"/>
    <s v="GODOS"/>
    <x v="212"/>
    <d v="2018-05-19T00:00:00"/>
    <d v="2018-04-27T00:00:00"/>
    <s v="Speed Express"/>
    <n v="16"/>
    <x v="28"/>
    <x v="4"/>
  </r>
  <r>
    <n v="10423"/>
    <s v="GOURL"/>
    <x v="213"/>
    <d v="2017-02-06T00:00:00"/>
    <d v="2017-02-24T00:00:00"/>
    <s v="Inland Shipping"/>
    <n v="122.5"/>
    <x v="29"/>
    <x v="2"/>
  </r>
  <r>
    <n v="10652"/>
    <s v="GOURL"/>
    <x v="214"/>
    <d v="2017-09-29T00:00:00"/>
    <d v="2017-09-08T00:00:00"/>
    <s v="Natioanl Package"/>
    <n v="35.699999999999996"/>
    <x v="29"/>
    <x v="5"/>
  </r>
  <r>
    <n v="10685"/>
    <s v="GOURL"/>
    <x v="215"/>
    <d v="2017-10-13T00:00:00"/>
    <d v="2017-10-03T00:00:00"/>
    <s v="Natioanl Package"/>
    <n v="168.75"/>
    <x v="29"/>
    <x v="5"/>
  </r>
  <r>
    <n v="10709"/>
    <s v="GOURL"/>
    <x v="216"/>
    <d v="2017-11-14T00:00:00"/>
    <d v="2017-11-20T00:00:00"/>
    <s v="Inland Shipping"/>
    <n v="1054"/>
    <x v="29"/>
    <x v="1"/>
  </r>
  <r>
    <n v="10734"/>
    <s v="GOURL"/>
    <x v="39"/>
    <d v="2017-12-05T00:00:00"/>
    <d v="2017-11-12T00:00:00"/>
    <s v="Inland Shipping"/>
    <n v="8.1499999999999986"/>
    <x v="29"/>
    <x v="6"/>
  </r>
  <r>
    <n v="10777"/>
    <s v="GOURL"/>
    <x v="152"/>
    <d v="2017-12-29T00:00:00"/>
    <d v="2018-01-21T00:00:00"/>
    <s v="Natioanl Package"/>
    <n v="15.049999999999999"/>
    <x v="29"/>
    <x v="9"/>
  </r>
  <r>
    <n v="10790"/>
    <s v="GOURL"/>
    <x v="168"/>
    <d v="2018-01-19T00:00:00"/>
    <d v="2017-12-26T00:00:00"/>
    <s v="Speed Express"/>
    <n v="141.15"/>
    <x v="29"/>
    <x v="9"/>
  </r>
  <r>
    <n v="10959"/>
    <s v="GOURL"/>
    <x v="217"/>
    <d v="2018-04-29T00:00:00"/>
    <d v="2018-03-23T00:00:00"/>
    <s v="Natioanl Package"/>
    <n v="24.900000000000002"/>
    <x v="29"/>
    <x v="3"/>
  </r>
  <r>
    <n v="11049"/>
    <s v="GOURL"/>
    <x v="92"/>
    <d v="2018-05-22T00:00:00"/>
    <d v="2018-05-04T00:00:00"/>
    <s v="Speed Express"/>
    <n v="41.7"/>
    <x v="29"/>
    <x v="4"/>
  </r>
  <r>
    <n v="10528"/>
    <s v="GREAL"/>
    <x v="218"/>
    <d v="2017-05-20T00:00:00"/>
    <d v="2017-05-09T00:00:00"/>
    <s v="Natioanl Package"/>
    <n v="16.75"/>
    <x v="30"/>
    <x v="7"/>
  </r>
  <r>
    <n v="10589"/>
    <s v="GREAL"/>
    <x v="219"/>
    <d v="2017-08-01T00:00:00"/>
    <d v="2017-07-14T00:00:00"/>
    <s v="Natioanl Package"/>
    <n v="22.1"/>
    <x v="30"/>
    <x v="11"/>
  </r>
  <r>
    <n v="10616"/>
    <s v="GREAL"/>
    <x v="220"/>
    <d v="2017-08-28T00:00:00"/>
    <d v="2017-08-05T00:00:00"/>
    <s v="Natioanl Package"/>
    <n v="582.65"/>
    <x v="30"/>
    <x v="11"/>
  </r>
  <r>
    <n v="10617"/>
    <s v="GREAL"/>
    <x v="220"/>
    <d v="2017-08-28T00:00:00"/>
    <d v="2017-08-04T00:00:00"/>
    <s v="Natioanl Package"/>
    <n v="92.65"/>
    <x v="30"/>
    <x v="11"/>
  </r>
  <r>
    <n v="10656"/>
    <s v="GREAL"/>
    <x v="221"/>
    <d v="2017-10-02T00:00:00"/>
    <d v="2017-09-10T00:00:00"/>
    <s v="Speed Express"/>
    <n v="285.75"/>
    <x v="30"/>
    <x v="5"/>
  </r>
  <r>
    <n v="10681"/>
    <s v="GREAL"/>
    <x v="15"/>
    <d v="2017-10-23T00:00:00"/>
    <d v="2017-09-30T00:00:00"/>
    <s v="Inland Shipping"/>
    <n v="380.65"/>
    <x v="30"/>
    <x v="5"/>
  </r>
  <r>
    <n v="10816"/>
    <s v="GREAL"/>
    <x v="222"/>
    <d v="2018-02-03T00:00:00"/>
    <d v="2018-02-04T00:00:00"/>
    <s v="Natioanl Package"/>
    <n v="3598.8999999999996"/>
    <x v="30"/>
    <x v="2"/>
  </r>
  <r>
    <n v="10936"/>
    <s v="GREAL"/>
    <x v="223"/>
    <d v="2018-04-06T00:00:00"/>
    <d v="2018-03-18T00:00:00"/>
    <s v="Natioanl Package"/>
    <n v="168.4"/>
    <x v="30"/>
    <x v="3"/>
  </r>
  <r>
    <n v="11006"/>
    <s v="GREAL"/>
    <x v="224"/>
    <d v="2018-05-05T00:00:00"/>
    <d v="2018-04-15T00:00:00"/>
    <s v="Natioanl Package"/>
    <n v="125.95"/>
    <x v="30"/>
    <x v="4"/>
  </r>
  <r>
    <n v="11040"/>
    <s v="GREAL"/>
    <x v="112"/>
    <d v="2018-05-20T00:00:00"/>
    <m/>
    <s v="Inland Shipping"/>
    <n v="94.2"/>
    <x v="30"/>
    <x v="4"/>
  </r>
  <r>
    <n v="11061"/>
    <s v="GREAL"/>
    <x v="198"/>
    <d v="2018-06-11T00:00:00"/>
    <m/>
    <s v="Inland Shipping"/>
    <n v="70.05"/>
    <x v="30"/>
    <x v="4"/>
  </r>
  <r>
    <n v="10268"/>
    <s v="GROSR"/>
    <x v="225"/>
    <d v="2016-08-27T00:00:00"/>
    <d v="2016-08-02T00:00:00"/>
    <s v="Inland Shipping"/>
    <n v="331.45000000000005"/>
    <x v="31"/>
    <x v="11"/>
  </r>
  <r>
    <n v="10785"/>
    <s v="GROSR"/>
    <x v="226"/>
    <d v="2018-01-15T00:00:00"/>
    <d v="2017-12-24T00:00:00"/>
    <s v="Inland Shipping"/>
    <n v="7.55"/>
    <x v="31"/>
    <x v="9"/>
  </r>
  <r>
    <n v="10250"/>
    <s v="HANAR"/>
    <x v="227"/>
    <d v="2016-08-05T00:00:00"/>
    <d v="2016-07-12T00:00:00"/>
    <s v="Natioanl Package"/>
    <n v="329.15"/>
    <x v="32"/>
    <x v="11"/>
  </r>
  <r>
    <n v="10253"/>
    <s v="HANAR"/>
    <x v="228"/>
    <d v="2016-07-24T00:00:00"/>
    <d v="2016-07-16T00:00:00"/>
    <s v="Natioanl Package"/>
    <n v="290.85000000000002"/>
    <x v="32"/>
    <x v="11"/>
  </r>
  <r>
    <n v="10541"/>
    <s v="HANAR"/>
    <x v="229"/>
    <d v="2017-06-16T00:00:00"/>
    <d v="2017-05-29T00:00:00"/>
    <s v="Speed Express"/>
    <n v="343.25"/>
    <x v="32"/>
    <x v="7"/>
  </r>
  <r>
    <n v="10645"/>
    <s v="HANAR"/>
    <x v="230"/>
    <d v="2017-09-23T00:00:00"/>
    <d v="2017-09-02T00:00:00"/>
    <s v="Speed Express"/>
    <n v="62.05"/>
    <x v="32"/>
    <x v="0"/>
  </r>
  <r>
    <n v="10690"/>
    <s v="HANAR"/>
    <x v="231"/>
    <d v="2017-10-30T00:00:00"/>
    <d v="2017-10-03T00:00:00"/>
    <s v="Speed Express"/>
    <n v="79"/>
    <x v="32"/>
    <x v="1"/>
  </r>
  <r>
    <n v="10770"/>
    <s v="HANAR"/>
    <x v="232"/>
    <d v="2018-01-06T00:00:00"/>
    <d v="2017-12-17T00:00:00"/>
    <s v="Inland Shipping"/>
    <n v="26.6"/>
    <x v="32"/>
    <x v="9"/>
  </r>
  <r>
    <n v="10783"/>
    <s v="HANAR"/>
    <x v="226"/>
    <d v="2018-01-15T00:00:00"/>
    <d v="2017-12-19T00:00:00"/>
    <s v="Natioanl Package"/>
    <n v="624.9"/>
    <x v="32"/>
    <x v="9"/>
  </r>
  <r>
    <n v="10886"/>
    <s v="HANAR"/>
    <x v="209"/>
    <d v="2018-03-13T00:00:00"/>
    <d v="2018-03-02T00:00:00"/>
    <s v="Speed Express"/>
    <n v="24.950000000000003"/>
    <x v="32"/>
    <x v="10"/>
  </r>
  <r>
    <n v="10903"/>
    <s v="HANAR"/>
    <x v="233"/>
    <d v="2018-03-24T00:00:00"/>
    <d v="2018-03-04T00:00:00"/>
    <s v="Inland Shipping"/>
    <n v="183.55"/>
    <x v="32"/>
    <x v="10"/>
  </r>
  <r>
    <n v="10922"/>
    <s v="HANAR"/>
    <x v="27"/>
    <d v="2018-03-31T00:00:00"/>
    <d v="2018-03-05T00:00:00"/>
    <s v="Inland Shipping"/>
    <n v="313.7"/>
    <x v="32"/>
    <x v="3"/>
  </r>
  <r>
    <n v="10925"/>
    <s v="HANAR"/>
    <x v="9"/>
    <d v="2018-04-01T00:00:00"/>
    <d v="2018-03-13T00:00:00"/>
    <s v="Speed Express"/>
    <n v="11.35"/>
    <x v="32"/>
    <x v="3"/>
  </r>
  <r>
    <n v="10981"/>
    <s v="HANAR"/>
    <x v="89"/>
    <d v="2018-04-24T00:00:00"/>
    <d v="2018-04-02T00:00:00"/>
    <s v="Natioanl Package"/>
    <n v="966.85"/>
    <x v="32"/>
    <x v="3"/>
  </r>
  <r>
    <n v="11022"/>
    <s v="HANAR"/>
    <x v="99"/>
    <d v="2018-05-12T00:00:00"/>
    <d v="2018-05-04T00:00:00"/>
    <s v="Natioanl Package"/>
    <n v="31.349999999999998"/>
    <x v="32"/>
    <x v="4"/>
  </r>
  <r>
    <n v="11052"/>
    <s v="HANAR"/>
    <x v="181"/>
    <d v="2018-05-25T00:00:00"/>
    <d v="2018-05-01T00:00:00"/>
    <s v="Speed Express"/>
    <n v="336.3"/>
    <x v="32"/>
    <x v="4"/>
  </r>
  <r>
    <n v="10257"/>
    <s v="HILAA"/>
    <x v="234"/>
    <d v="2016-08-13T00:00:00"/>
    <d v="2016-07-22T00:00:00"/>
    <s v="Inland Shipping"/>
    <n v="409.54999999999995"/>
    <x v="33"/>
    <x v="11"/>
  </r>
  <r>
    <n v="10395"/>
    <s v="HILAA"/>
    <x v="235"/>
    <d v="2017-01-23T00:00:00"/>
    <d v="2017-01-03T00:00:00"/>
    <s v="Speed Express"/>
    <n v="922.05"/>
    <x v="33"/>
    <x v="9"/>
  </r>
  <r>
    <n v="10476"/>
    <s v="HILAA"/>
    <x v="236"/>
    <d v="2017-04-14T00:00:00"/>
    <d v="2017-03-24T00:00:00"/>
    <s v="Inland Shipping"/>
    <n v="22.05"/>
    <x v="33"/>
    <x v="3"/>
  </r>
  <r>
    <n v="10486"/>
    <s v="HILAA"/>
    <x v="237"/>
    <d v="2017-04-23T00:00:00"/>
    <d v="2017-04-02T00:00:00"/>
    <s v="Natioanl Package"/>
    <n v="152.65"/>
    <x v="33"/>
    <x v="3"/>
  </r>
  <r>
    <n v="10490"/>
    <s v="HILAA"/>
    <x v="202"/>
    <d v="2017-04-28T00:00:00"/>
    <d v="2017-04-03T00:00:00"/>
    <s v="Natioanl Package"/>
    <n v="1050.95"/>
    <x v="33"/>
    <x v="3"/>
  </r>
  <r>
    <n v="10498"/>
    <s v="HILAA"/>
    <x v="238"/>
    <d v="2017-05-05T00:00:00"/>
    <d v="2017-04-11T00:00:00"/>
    <s v="Natioanl Package"/>
    <n v="148.75"/>
    <x v="33"/>
    <x v="4"/>
  </r>
  <r>
    <n v="10552"/>
    <s v="HILAA"/>
    <x v="239"/>
    <d v="2017-06-26T00:00:00"/>
    <d v="2017-06-05T00:00:00"/>
    <s v="Speed Express"/>
    <n v="416.1"/>
    <x v="33"/>
    <x v="7"/>
  </r>
  <r>
    <n v="10601"/>
    <s v="HILAA"/>
    <x v="240"/>
    <d v="2017-08-27T00:00:00"/>
    <d v="2017-07-22T00:00:00"/>
    <s v="Speed Express"/>
    <n v="291.5"/>
    <x v="33"/>
    <x v="11"/>
  </r>
  <r>
    <n v="10613"/>
    <s v="HILAA"/>
    <x v="47"/>
    <d v="2017-08-26T00:00:00"/>
    <d v="2017-08-01T00:00:00"/>
    <s v="Natioanl Package"/>
    <n v="40.549999999999997"/>
    <x v="33"/>
    <x v="11"/>
  </r>
  <r>
    <n v="10641"/>
    <s v="HILAA"/>
    <x v="241"/>
    <d v="2017-09-19T00:00:00"/>
    <d v="2017-08-26T00:00:00"/>
    <s v="Natioanl Package"/>
    <n v="898.05000000000007"/>
    <x v="33"/>
    <x v="0"/>
  </r>
  <r>
    <n v="10705"/>
    <s v="HILAA"/>
    <x v="242"/>
    <d v="2017-11-12T00:00:00"/>
    <d v="2017-11-18T00:00:00"/>
    <s v="Natioanl Package"/>
    <n v="17.600000000000001"/>
    <x v="33"/>
    <x v="1"/>
  </r>
  <r>
    <n v="10796"/>
    <s v="HILAA"/>
    <x v="122"/>
    <d v="2018-01-22T00:00:00"/>
    <d v="2018-01-14T00:00:00"/>
    <s v="Speed Express"/>
    <n v="132.6"/>
    <x v="33"/>
    <x v="9"/>
  </r>
  <r>
    <n v="10863"/>
    <s v="HILAA"/>
    <x v="26"/>
    <d v="2018-03-02T00:00:00"/>
    <d v="2018-02-17T00:00:00"/>
    <s v="Natioanl Package"/>
    <n v="151.30000000000001"/>
    <x v="33"/>
    <x v="10"/>
  </r>
  <r>
    <n v="10901"/>
    <s v="HILAA"/>
    <x v="179"/>
    <d v="2018-03-23T00:00:00"/>
    <d v="2018-02-26T00:00:00"/>
    <s v="Speed Express"/>
    <n v="310.45000000000005"/>
    <x v="33"/>
    <x v="10"/>
  </r>
  <r>
    <n v="10957"/>
    <s v="HILAA"/>
    <x v="217"/>
    <d v="2018-04-15T00:00:00"/>
    <d v="2018-03-27T00:00:00"/>
    <s v="Inland Shipping"/>
    <n v="526.79999999999995"/>
    <x v="33"/>
    <x v="3"/>
  </r>
  <r>
    <n v="10960"/>
    <s v="HILAA"/>
    <x v="205"/>
    <d v="2018-04-02T00:00:00"/>
    <d v="2018-04-08T00:00:00"/>
    <s v="Speed Express"/>
    <n v="10.4"/>
    <x v="33"/>
    <x v="3"/>
  </r>
  <r>
    <n v="10976"/>
    <s v="HILAA"/>
    <x v="88"/>
    <d v="2018-05-06T00:00:00"/>
    <d v="2018-04-03T00:00:00"/>
    <s v="Speed Express"/>
    <n v="189.85"/>
    <x v="33"/>
    <x v="3"/>
  </r>
  <r>
    <n v="11055"/>
    <s v="HILAA"/>
    <x v="105"/>
    <d v="2018-05-26T00:00:00"/>
    <d v="2018-05-05T00:00:00"/>
    <s v="Natioanl Package"/>
    <n v="604.6"/>
    <x v="33"/>
    <x v="4"/>
  </r>
  <r>
    <n v="10375"/>
    <s v="HUNGC"/>
    <x v="243"/>
    <d v="2017-01-03T00:00:00"/>
    <d v="2016-12-09T00:00:00"/>
    <s v="Natioanl Package"/>
    <n v="100.60000000000001"/>
    <x v="34"/>
    <x v="9"/>
  </r>
  <r>
    <n v="10394"/>
    <s v="HUNGC"/>
    <x v="244"/>
    <d v="2017-01-22T00:00:00"/>
    <d v="2017-01-03T00:00:00"/>
    <s v="Inland Shipping"/>
    <n v="151.69999999999999"/>
    <x v="34"/>
    <x v="9"/>
  </r>
  <r>
    <n v="10415"/>
    <s v="HUNGC"/>
    <x v="245"/>
    <d v="2017-02-12T00:00:00"/>
    <d v="2017-01-24T00:00:00"/>
    <s v="Speed Express"/>
    <n v="1"/>
    <x v="34"/>
    <x v="2"/>
  </r>
  <r>
    <n v="10600"/>
    <s v="HUNGC"/>
    <x v="240"/>
    <d v="2017-08-13T00:00:00"/>
    <d v="2017-07-21T00:00:00"/>
    <s v="Speed Express"/>
    <n v="225.65"/>
    <x v="34"/>
    <x v="11"/>
  </r>
  <r>
    <n v="10660"/>
    <s v="HUNGC"/>
    <x v="246"/>
    <d v="2017-10-06T00:00:00"/>
    <d v="2017-10-15T00:00:00"/>
    <s v="Speed Express"/>
    <n v="556.45000000000005"/>
    <x v="34"/>
    <x v="5"/>
  </r>
  <r>
    <n v="10298"/>
    <s v="HUNGO"/>
    <x v="247"/>
    <d v="2016-10-03T00:00:00"/>
    <d v="2016-09-11T00:00:00"/>
    <s v="Natioanl Package"/>
    <n v="841.1"/>
    <x v="35"/>
    <x v="5"/>
  </r>
  <r>
    <n v="10309"/>
    <s v="HUNGO"/>
    <x v="248"/>
    <d v="2016-10-17T00:00:00"/>
    <d v="2016-10-23T00:00:00"/>
    <s v="Speed Express"/>
    <n v="236.5"/>
    <x v="35"/>
    <x v="5"/>
  </r>
  <r>
    <n v="10335"/>
    <s v="HUNGO"/>
    <x v="249"/>
    <d v="2016-11-19T00:00:00"/>
    <d v="2016-10-24T00:00:00"/>
    <s v="Natioanl Package"/>
    <n v="210.55"/>
    <x v="35"/>
    <x v="1"/>
  </r>
  <r>
    <n v="10373"/>
    <s v="HUNGO"/>
    <x v="250"/>
    <d v="2017-01-02T00:00:00"/>
    <d v="2016-12-11T00:00:00"/>
    <s v="Inland Shipping"/>
    <n v="620.6"/>
    <x v="35"/>
    <x v="9"/>
  </r>
  <r>
    <n v="10380"/>
    <s v="HUNGO"/>
    <x v="251"/>
    <d v="2017-01-09T00:00:00"/>
    <d v="2017-01-16T00:00:00"/>
    <s v="Inland Shipping"/>
    <n v="175.15"/>
    <x v="35"/>
    <x v="9"/>
  </r>
  <r>
    <n v="10429"/>
    <s v="HUNGO"/>
    <x v="252"/>
    <d v="2017-03-12T00:00:00"/>
    <d v="2017-02-07T00:00:00"/>
    <s v="Natioanl Package"/>
    <n v="283.15000000000003"/>
    <x v="35"/>
    <x v="2"/>
  </r>
  <r>
    <n v="10503"/>
    <s v="HUNGO"/>
    <x v="253"/>
    <d v="2017-05-09T00:00:00"/>
    <d v="2017-04-16T00:00:00"/>
    <s v="Natioanl Package"/>
    <n v="83.699999999999989"/>
    <x v="35"/>
    <x v="4"/>
  </r>
  <r>
    <n v="10516"/>
    <s v="HUNGO"/>
    <x v="254"/>
    <d v="2017-05-22T00:00:00"/>
    <d v="2017-05-01T00:00:00"/>
    <s v="Inland Shipping"/>
    <n v="313.89999999999998"/>
    <x v="35"/>
    <x v="4"/>
  </r>
  <r>
    <n v="10567"/>
    <s v="HUNGO"/>
    <x v="57"/>
    <d v="2017-07-10T00:00:00"/>
    <d v="2017-06-17T00:00:00"/>
    <s v="Speed Express"/>
    <n v="169.85"/>
    <x v="35"/>
    <x v="8"/>
  </r>
  <r>
    <n v="10646"/>
    <s v="HUNGO"/>
    <x v="255"/>
    <d v="2017-10-08T00:00:00"/>
    <d v="2017-09-03T00:00:00"/>
    <s v="Inland Shipping"/>
    <n v="711.65000000000009"/>
    <x v="35"/>
    <x v="0"/>
  </r>
  <r>
    <n v="10661"/>
    <s v="HUNGO"/>
    <x v="256"/>
    <d v="2017-10-07T00:00:00"/>
    <d v="2017-09-15T00:00:00"/>
    <s v="Inland Shipping"/>
    <n v="87.75"/>
    <x v="35"/>
    <x v="5"/>
  </r>
  <r>
    <n v="10687"/>
    <s v="HUNGO"/>
    <x v="257"/>
    <d v="2017-10-28T00:00:00"/>
    <d v="2017-10-30T00:00:00"/>
    <s v="Natioanl Package"/>
    <n v="1482.15"/>
    <x v="35"/>
    <x v="5"/>
  </r>
  <r>
    <n v="10701"/>
    <s v="HUNGO"/>
    <x v="2"/>
    <d v="2017-10-27T00:00:00"/>
    <d v="2017-10-15T00:00:00"/>
    <s v="Inland Shipping"/>
    <n v="1101.55"/>
    <x v="35"/>
    <x v="1"/>
  </r>
  <r>
    <n v="10712"/>
    <s v="HUNGO"/>
    <x v="258"/>
    <d v="2017-11-18T00:00:00"/>
    <d v="2017-10-31T00:00:00"/>
    <s v="Speed Express"/>
    <n v="449.65000000000003"/>
    <x v="35"/>
    <x v="1"/>
  </r>
  <r>
    <n v="10736"/>
    <s v="HUNGO"/>
    <x v="259"/>
    <d v="2017-12-09T00:00:00"/>
    <d v="2017-11-21T00:00:00"/>
    <s v="Natioanl Package"/>
    <n v="220.5"/>
    <x v="35"/>
    <x v="6"/>
  </r>
  <r>
    <n v="10897"/>
    <s v="HUNGO"/>
    <x v="260"/>
    <d v="2018-03-19T00:00:00"/>
    <d v="2018-02-25T00:00:00"/>
    <s v="Natioanl Package"/>
    <n v="3017.7"/>
    <x v="35"/>
    <x v="10"/>
  </r>
  <r>
    <n v="10912"/>
    <s v="HUNGO"/>
    <x v="211"/>
    <d v="2018-03-26T00:00:00"/>
    <d v="2018-03-18T00:00:00"/>
    <s v="Natioanl Package"/>
    <n v="2904.5499999999997"/>
    <x v="35"/>
    <x v="10"/>
  </r>
  <r>
    <n v="10985"/>
    <s v="HUNGO"/>
    <x v="261"/>
    <d v="2018-04-27T00:00:00"/>
    <d v="2018-04-02T00:00:00"/>
    <s v="Speed Express"/>
    <n v="457.55"/>
    <x v="35"/>
    <x v="3"/>
  </r>
  <r>
    <n v="11063"/>
    <s v="HUNGO"/>
    <x v="198"/>
    <d v="2018-05-28T00:00:00"/>
    <d v="2018-05-06T00:00:00"/>
    <s v="Natioanl Package"/>
    <n v="408.65000000000003"/>
    <x v="35"/>
    <x v="4"/>
  </r>
  <r>
    <n v="10315"/>
    <s v="ISLAT"/>
    <x v="262"/>
    <d v="2016-10-24T00:00:00"/>
    <d v="2016-10-03T00:00:00"/>
    <s v="Natioanl Package"/>
    <n v="208.79999999999998"/>
    <x v="36"/>
    <x v="5"/>
  </r>
  <r>
    <n v="10318"/>
    <s v="ISLAT"/>
    <x v="263"/>
    <d v="2016-10-29T00:00:00"/>
    <d v="2016-10-04T00:00:00"/>
    <s v="Natioanl Package"/>
    <n v="23.650000000000002"/>
    <x v="36"/>
    <x v="1"/>
  </r>
  <r>
    <n v="10321"/>
    <s v="ISLAT"/>
    <x v="264"/>
    <d v="2016-10-31T00:00:00"/>
    <d v="2016-10-11T00:00:00"/>
    <s v="Natioanl Package"/>
    <n v="17.150000000000002"/>
    <x v="36"/>
    <x v="1"/>
  </r>
  <r>
    <n v="10473"/>
    <s v="ISLAT"/>
    <x v="265"/>
    <d v="2017-03-27T00:00:00"/>
    <d v="2017-03-21T00:00:00"/>
    <s v="Inland Shipping"/>
    <n v="81.850000000000009"/>
    <x v="36"/>
    <x v="3"/>
  </r>
  <r>
    <n v="10621"/>
    <s v="ISLAT"/>
    <x v="266"/>
    <d v="2017-09-02T00:00:00"/>
    <d v="2017-08-11T00:00:00"/>
    <s v="Natioanl Package"/>
    <n v="118.65"/>
    <x v="36"/>
    <x v="0"/>
  </r>
  <r>
    <n v="10674"/>
    <s v="ISLAT"/>
    <x v="267"/>
    <d v="2017-10-16T00:00:00"/>
    <d v="2017-09-30T00:00:00"/>
    <s v="Natioanl Package"/>
    <n v="4.5"/>
    <x v="36"/>
    <x v="5"/>
  </r>
  <r>
    <n v="10749"/>
    <s v="ISLAT"/>
    <x v="268"/>
    <d v="2017-12-18T00:00:00"/>
    <d v="2017-12-19T00:00:00"/>
    <s v="Natioanl Package"/>
    <n v="307.64999999999998"/>
    <x v="36"/>
    <x v="6"/>
  </r>
  <r>
    <n v="10798"/>
    <s v="ISLAT"/>
    <x v="269"/>
    <d v="2018-01-23T00:00:00"/>
    <d v="2018-01-05T00:00:00"/>
    <s v="Speed Express"/>
    <n v="11.65"/>
    <x v="36"/>
    <x v="9"/>
  </r>
  <r>
    <n v="10829"/>
    <s v="ISLAT"/>
    <x v="270"/>
    <d v="2018-02-10T00:00:00"/>
    <d v="2018-01-23T00:00:00"/>
    <s v="Speed Express"/>
    <n v="773.6"/>
    <x v="36"/>
    <x v="2"/>
  </r>
  <r>
    <n v="10933"/>
    <s v="ISLAT"/>
    <x v="78"/>
    <d v="2018-04-03T00:00:00"/>
    <d v="2018-03-16T00:00:00"/>
    <s v="Inland Shipping"/>
    <n v="270.75"/>
    <x v="36"/>
    <x v="3"/>
  </r>
  <r>
    <n v="10323"/>
    <s v="KOENE"/>
    <x v="271"/>
    <d v="2016-11-04T00:00:00"/>
    <d v="2016-10-14T00:00:00"/>
    <s v="Speed Express"/>
    <n v="24.4"/>
    <x v="37"/>
    <x v="1"/>
  </r>
  <r>
    <n v="10325"/>
    <s v="KOENE"/>
    <x v="272"/>
    <d v="2016-10-23T00:00:00"/>
    <d v="2016-10-14T00:00:00"/>
    <s v="Inland Shipping"/>
    <n v="324.3"/>
    <x v="37"/>
    <x v="1"/>
  </r>
  <r>
    <n v="10456"/>
    <s v="KOENE"/>
    <x v="273"/>
    <d v="2017-04-08T00:00:00"/>
    <d v="2017-02-28T00:00:00"/>
    <s v="Natioanl Package"/>
    <n v="40.599999999999994"/>
    <x v="37"/>
    <x v="10"/>
  </r>
  <r>
    <n v="10457"/>
    <s v="KOENE"/>
    <x v="273"/>
    <d v="2017-03-25T00:00:00"/>
    <d v="2017-03-03T00:00:00"/>
    <s v="Speed Express"/>
    <n v="57.85"/>
    <x v="37"/>
    <x v="10"/>
  </r>
  <r>
    <n v="10468"/>
    <s v="KOENE"/>
    <x v="274"/>
    <d v="2017-04-04T00:00:00"/>
    <d v="2017-03-12T00:00:00"/>
    <s v="Inland Shipping"/>
    <n v="220.6"/>
    <x v="37"/>
    <x v="3"/>
  </r>
  <r>
    <n v="10506"/>
    <s v="KOENE"/>
    <x v="11"/>
    <d v="2017-05-13T00:00:00"/>
    <d v="2017-05-02T00:00:00"/>
    <s v="Natioanl Package"/>
    <n v="105.95"/>
    <x v="37"/>
    <x v="4"/>
  </r>
  <r>
    <n v="10542"/>
    <s v="KOENE"/>
    <x v="275"/>
    <d v="2017-06-17T00:00:00"/>
    <d v="2017-05-26T00:00:00"/>
    <s v="Inland Shipping"/>
    <n v="54.75"/>
    <x v="37"/>
    <x v="7"/>
  </r>
  <r>
    <n v="10630"/>
    <s v="KOENE"/>
    <x v="276"/>
    <d v="2017-09-10T00:00:00"/>
    <d v="2017-08-19T00:00:00"/>
    <s v="Natioanl Package"/>
    <n v="161.75"/>
    <x v="37"/>
    <x v="0"/>
  </r>
  <r>
    <n v="10718"/>
    <s v="KOENE"/>
    <x v="277"/>
    <d v="2017-11-24T00:00:00"/>
    <d v="2017-10-29T00:00:00"/>
    <s v="Inland Shipping"/>
    <n v="854.4"/>
    <x v="37"/>
    <x v="1"/>
  </r>
  <r>
    <n v="10799"/>
    <s v="KOENE"/>
    <x v="269"/>
    <d v="2018-02-06T00:00:00"/>
    <d v="2018-01-05T00:00:00"/>
    <s v="Inland Shipping"/>
    <n v="153.80000000000001"/>
    <x v="37"/>
    <x v="9"/>
  </r>
  <r>
    <n v="10817"/>
    <s v="KOENE"/>
    <x v="222"/>
    <d v="2018-01-20T00:00:00"/>
    <d v="2018-01-13T00:00:00"/>
    <s v="Natioanl Package"/>
    <n v="1530.35"/>
    <x v="37"/>
    <x v="2"/>
  </r>
  <r>
    <n v="10849"/>
    <s v="KOENE"/>
    <x v="119"/>
    <d v="2018-02-20T00:00:00"/>
    <d v="2018-01-30T00:00:00"/>
    <s v="Natioanl Package"/>
    <n v="2.8000000000000003"/>
    <x v="37"/>
    <x v="2"/>
  </r>
  <r>
    <n v="10893"/>
    <s v="KOENE"/>
    <x v="153"/>
    <d v="2018-03-18T00:00:00"/>
    <d v="2018-02-20T00:00:00"/>
    <s v="Natioanl Package"/>
    <n v="388.9"/>
    <x v="37"/>
    <x v="10"/>
  </r>
  <r>
    <n v="11028"/>
    <s v="KOENE"/>
    <x v="90"/>
    <d v="2018-05-14T00:00:00"/>
    <d v="2018-04-22T00:00:00"/>
    <s v="Speed Express"/>
    <n v="147.94999999999999"/>
    <x v="37"/>
    <x v="4"/>
  </r>
  <r>
    <n v="10858"/>
    <s v="LACOR"/>
    <x v="192"/>
    <d v="2018-02-26T00:00:00"/>
    <d v="2018-02-03T00:00:00"/>
    <s v="Speed Express"/>
    <n v="262.55"/>
    <x v="38"/>
    <x v="2"/>
  </r>
  <r>
    <n v="10927"/>
    <s v="LACOR"/>
    <x v="193"/>
    <d v="2018-04-02T00:00:00"/>
    <d v="2018-04-08T00:00:00"/>
    <s v="Speed Express"/>
    <n v="98.949999999999989"/>
    <x v="38"/>
    <x v="3"/>
  </r>
  <r>
    <n v="10972"/>
    <s v="LACOR"/>
    <x v="64"/>
    <d v="2018-04-21T00:00:00"/>
    <d v="2018-03-26T00:00:00"/>
    <s v="Natioanl Package"/>
    <n v="0.1"/>
    <x v="38"/>
    <x v="3"/>
  </r>
  <r>
    <n v="10973"/>
    <s v="LACOR"/>
    <x v="64"/>
    <d v="2018-04-21T00:00:00"/>
    <d v="2018-03-27T00:00:00"/>
    <s v="Natioanl Package"/>
    <n v="75.849999999999994"/>
    <x v="38"/>
    <x v="3"/>
  </r>
  <r>
    <n v="10350"/>
    <s v="LAMAI"/>
    <x v="137"/>
    <d v="2016-12-09T00:00:00"/>
    <d v="2016-12-03T00:00:00"/>
    <s v="Natioanl Package"/>
    <n v="320.95"/>
    <x v="39"/>
    <x v="6"/>
  </r>
  <r>
    <n v="10358"/>
    <s v="LAMAI"/>
    <x v="278"/>
    <d v="2016-12-18T00:00:00"/>
    <d v="2016-11-27T00:00:00"/>
    <s v="Speed Express"/>
    <n v="98.2"/>
    <x v="39"/>
    <x v="6"/>
  </r>
  <r>
    <n v="10371"/>
    <s v="LAMAI"/>
    <x v="108"/>
    <d v="2016-12-31T00:00:00"/>
    <d v="2016-12-24T00:00:00"/>
    <s v="Speed Express"/>
    <n v="2.25"/>
    <x v="39"/>
    <x v="9"/>
  </r>
  <r>
    <n v="10413"/>
    <s v="LAMAI"/>
    <x v="161"/>
    <d v="2017-02-11T00:00:00"/>
    <d v="2017-01-16T00:00:00"/>
    <s v="Natioanl Package"/>
    <n v="478.29999999999995"/>
    <x v="39"/>
    <x v="2"/>
  </r>
  <r>
    <n v="10425"/>
    <s v="LAMAI"/>
    <x v="279"/>
    <d v="2017-02-21T00:00:00"/>
    <d v="2017-02-14T00:00:00"/>
    <s v="Natioanl Package"/>
    <n v="39.65"/>
    <x v="39"/>
    <x v="2"/>
  </r>
  <r>
    <n v="10454"/>
    <s v="LAMAI"/>
    <x v="19"/>
    <d v="2017-03-21T00:00:00"/>
    <d v="2017-02-25T00:00:00"/>
    <s v="Inland Shipping"/>
    <n v="13.700000000000001"/>
    <x v="39"/>
    <x v="10"/>
  </r>
  <r>
    <n v="10493"/>
    <s v="LAMAI"/>
    <x v="115"/>
    <d v="2017-04-30T00:00:00"/>
    <d v="2017-04-10T00:00:00"/>
    <s v="Inland Shipping"/>
    <n v="53.2"/>
    <x v="39"/>
    <x v="4"/>
  </r>
  <r>
    <n v="10500"/>
    <s v="LAMAI"/>
    <x v="44"/>
    <d v="2017-05-07T00:00:00"/>
    <d v="2017-04-17T00:00:00"/>
    <s v="Speed Express"/>
    <n v="213.4"/>
    <x v="39"/>
    <x v="4"/>
  </r>
  <r>
    <n v="10610"/>
    <s v="LAMAI"/>
    <x v="280"/>
    <d v="2017-08-22T00:00:00"/>
    <d v="2017-08-06T00:00:00"/>
    <s v="Speed Express"/>
    <n v="133.9"/>
    <x v="39"/>
    <x v="11"/>
  </r>
  <r>
    <n v="10631"/>
    <s v="LAMAI"/>
    <x v="281"/>
    <d v="2017-09-11T00:00:00"/>
    <d v="2017-08-15T00:00:00"/>
    <s v="Speed Express"/>
    <n v="4.3499999999999996"/>
    <x v="39"/>
    <x v="0"/>
  </r>
  <r>
    <n v="10787"/>
    <s v="LAMAI"/>
    <x v="282"/>
    <d v="2018-01-02T00:00:00"/>
    <d v="2017-12-26T00:00:00"/>
    <s v="Speed Express"/>
    <n v="1249.6500000000001"/>
    <x v="39"/>
    <x v="9"/>
  </r>
  <r>
    <n v="10832"/>
    <s v="LAMAI"/>
    <x v="283"/>
    <d v="2018-02-11T00:00:00"/>
    <d v="2018-01-19T00:00:00"/>
    <s v="Natioanl Package"/>
    <n v="216.29999999999998"/>
    <x v="39"/>
    <x v="2"/>
  </r>
  <r>
    <n v="10923"/>
    <s v="LAMAI"/>
    <x v="27"/>
    <d v="2018-04-14T00:00:00"/>
    <d v="2018-03-13T00:00:00"/>
    <s v="Inland Shipping"/>
    <n v="341.3"/>
    <x v="39"/>
    <x v="3"/>
  </r>
  <r>
    <n v="11051"/>
    <s v="LAMAI"/>
    <x v="181"/>
    <d v="2018-05-25T00:00:00"/>
    <m/>
    <s v="Inland Shipping"/>
    <n v="13.95"/>
    <x v="39"/>
    <x v="4"/>
  </r>
  <r>
    <n v="10495"/>
    <s v="LAUGB"/>
    <x v="284"/>
    <d v="2017-05-01T00:00:00"/>
    <d v="2017-04-11T00:00:00"/>
    <s v="Inland Shipping"/>
    <n v="23.25"/>
    <x v="40"/>
    <x v="4"/>
  </r>
  <r>
    <n v="10620"/>
    <s v="LAUGB"/>
    <x v="266"/>
    <d v="2017-09-02T00:00:00"/>
    <d v="2017-08-14T00:00:00"/>
    <s v="Inland Shipping"/>
    <n v="4.6999999999999993"/>
    <x v="40"/>
    <x v="0"/>
  </r>
  <r>
    <n v="10810"/>
    <s v="LAUGB"/>
    <x v="285"/>
    <d v="2018-01-29T00:00:00"/>
    <d v="2018-01-07T00:00:00"/>
    <s v="Inland Shipping"/>
    <n v="21.65"/>
    <x v="40"/>
    <x v="2"/>
  </r>
  <r>
    <n v="10482"/>
    <s v="LAZYK"/>
    <x v="286"/>
    <d v="2017-04-18T00:00:00"/>
    <d v="2017-04-10T00:00:00"/>
    <s v="Inland Shipping"/>
    <n v="37.400000000000006"/>
    <x v="41"/>
    <x v="3"/>
  </r>
  <r>
    <n v="10545"/>
    <s v="LAZYK"/>
    <x v="287"/>
    <d v="2017-06-19T00:00:00"/>
    <d v="2017-06-26T00:00:00"/>
    <s v="Natioanl Package"/>
    <n v="59.6"/>
    <x v="41"/>
    <x v="7"/>
  </r>
  <r>
    <n v="10279"/>
    <s v="LEHMS"/>
    <x v="288"/>
    <d v="2016-09-10T00:00:00"/>
    <d v="2016-08-16T00:00:00"/>
    <s v="Natioanl Package"/>
    <n v="129.14999999999998"/>
    <x v="42"/>
    <x v="0"/>
  </r>
  <r>
    <n v="10284"/>
    <s v="LEHMS"/>
    <x v="289"/>
    <d v="2016-09-16T00:00:00"/>
    <d v="2016-08-27T00:00:00"/>
    <s v="Speed Express"/>
    <n v="382.8"/>
    <x v="42"/>
    <x v="0"/>
  </r>
  <r>
    <n v="10343"/>
    <s v="LEHMS"/>
    <x v="290"/>
    <d v="2016-11-28T00:00:00"/>
    <d v="2016-11-06T00:00:00"/>
    <s v="Speed Express"/>
    <n v="551.85"/>
    <x v="42"/>
    <x v="1"/>
  </r>
  <r>
    <n v="10497"/>
    <s v="LEHMS"/>
    <x v="291"/>
    <d v="2017-05-02T00:00:00"/>
    <d v="2017-04-07T00:00:00"/>
    <s v="Speed Express"/>
    <n v="181.05"/>
    <x v="42"/>
    <x v="4"/>
  </r>
  <r>
    <n v="10522"/>
    <s v="LEHMS"/>
    <x v="292"/>
    <d v="2017-05-28T00:00:00"/>
    <d v="2017-05-06T00:00:00"/>
    <s v="Speed Express"/>
    <n v="226.64999999999998"/>
    <x v="42"/>
    <x v="4"/>
  </r>
  <r>
    <n v="10534"/>
    <s v="LEHMS"/>
    <x v="174"/>
    <d v="2017-06-09T00:00:00"/>
    <d v="2017-05-14T00:00:00"/>
    <s v="Natioanl Package"/>
    <n v="139.70000000000002"/>
    <x v="42"/>
    <x v="7"/>
  </r>
  <r>
    <n v="10536"/>
    <s v="LEHMS"/>
    <x v="293"/>
    <d v="2017-06-11T00:00:00"/>
    <d v="2017-06-06T00:00:00"/>
    <s v="Natioanl Package"/>
    <n v="294.40000000000003"/>
    <x v="42"/>
    <x v="7"/>
  </r>
  <r>
    <n v="10557"/>
    <s v="LEHMS"/>
    <x v="294"/>
    <d v="2017-06-17T00:00:00"/>
    <d v="2017-06-06T00:00:00"/>
    <s v="Natioanl Package"/>
    <n v="483.6"/>
    <x v="42"/>
    <x v="8"/>
  </r>
  <r>
    <n v="10592"/>
    <s v="LEHMS"/>
    <x v="295"/>
    <d v="2017-08-05T00:00:00"/>
    <d v="2017-07-16T00:00:00"/>
    <s v="Speed Express"/>
    <n v="160.5"/>
    <x v="42"/>
    <x v="11"/>
  </r>
  <r>
    <n v="10593"/>
    <s v="LEHMS"/>
    <x v="296"/>
    <d v="2017-08-06T00:00:00"/>
    <d v="2017-08-13T00:00:00"/>
    <s v="Natioanl Package"/>
    <n v="871"/>
    <x v="42"/>
    <x v="11"/>
  </r>
  <r>
    <n v="10772"/>
    <s v="LEHMS"/>
    <x v="150"/>
    <d v="2018-01-07T00:00:00"/>
    <d v="2017-12-19T00:00:00"/>
    <s v="Natioanl Package"/>
    <n v="456.4"/>
    <x v="42"/>
    <x v="9"/>
  </r>
  <r>
    <n v="10862"/>
    <s v="LEHMS"/>
    <x v="297"/>
    <d v="2018-03-13T00:00:00"/>
    <d v="2018-02-02T00:00:00"/>
    <s v="Natioanl Package"/>
    <n v="266.14999999999998"/>
    <x v="42"/>
    <x v="2"/>
  </r>
  <r>
    <n v="10891"/>
    <s v="LEHMS"/>
    <x v="298"/>
    <d v="2018-03-17T00:00:00"/>
    <d v="2018-02-19T00:00:00"/>
    <s v="Natioanl Package"/>
    <n v="101.85000000000001"/>
    <x v="42"/>
    <x v="10"/>
  </r>
  <r>
    <n v="10934"/>
    <s v="LEHMS"/>
    <x v="223"/>
    <d v="2018-04-06T00:00:00"/>
    <d v="2018-03-12T00:00:00"/>
    <s v="Inland Shipping"/>
    <n v="160.04999999999998"/>
    <x v="42"/>
    <x v="3"/>
  </r>
  <r>
    <n v="11070"/>
    <s v="LEHMS"/>
    <x v="158"/>
    <d v="2018-06-02T00:00:00"/>
    <m/>
    <s v="Speed Express"/>
    <n v="680"/>
    <x v="42"/>
    <x v="7"/>
  </r>
  <r>
    <n v="10579"/>
    <s v="LETSS"/>
    <x v="299"/>
    <d v="2017-07-23T00:00:00"/>
    <d v="2017-07-04T00:00:00"/>
    <s v="Natioanl Package"/>
    <n v="68.650000000000006"/>
    <x v="43"/>
    <x v="8"/>
  </r>
  <r>
    <n v="10719"/>
    <s v="LETSS"/>
    <x v="277"/>
    <d v="2017-11-24T00:00:00"/>
    <d v="2017-11-05T00:00:00"/>
    <s v="Natioanl Package"/>
    <n v="257.2"/>
    <x v="43"/>
    <x v="1"/>
  </r>
  <r>
    <n v="10735"/>
    <s v="LETSS"/>
    <x v="300"/>
    <d v="2017-12-08T00:00:00"/>
    <d v="2017-11-21T00:00:00"/>
    <s v="Natioanl Package"/>
    <n v="229.85"/>
    <x v="43"/>
    <x v="6"/>
  </r>
  <r>
    <n v="10884"/>
    <s v="LETSS"/>
    <x v="301"/>
    <d v="2018-03-12T00:00:00"/>
    <d v="2018-02-13T00:00:00"/>
    <s v="Natioanl Package"/>
    <n v="454.85"/>
    <x v="43"/>
    <x v="10"/>
  </r>
  <r>
    <n v="10283"/>
    <s v="LILAS"/>
    <x v="302"/>
    <d v="2016-09-13T00:00:00"/>
    <d v="2016-08-23T00:00:00"/>
    <s v="Inland Shipping"/>
    <n v="424.05"/>
    <x v="44"/>
    <x v="0"/>
  </r>
  <r>
    <n v="10296"/>
    <s v="LILAS"/>
    <x v="303"/>
    <d v="2016-10-01T00:00:00"/>
    <d v="2016-09-11T00:00:00"/>
    <s v="Speed Express"/>
    <n v="0.6"/>
    <x v="44"/>
    <x v="5"/>
  </r>
  <r>
    <n v="10330"/>
    <s v="LILAS"/>
    <x v="65"/>
    <d v="2016-11-13T00:00:00"/>
    <d v="2016-10-28T00:00:00"/>
    <s v="Speed Express"/>
    <n v="63.75"/>
    <x v="44"/>
    <x v="1"/>
  </r>
  <r>
    <n v="10357"/>
    <s v="LILAS"/>
    <x v="304"/>
    <d v="2016-12-17T00:00:00"/>
    <d v="2016-12-02T00:00:00"/>
    <s v="Inland Shipping"/>
    <n v="174.4"/>
    <x v="44"/>
    <x v="6"/>
  </r>
  <r>
    <n v="10381"/>
    <s v="LILAS"/>
    <x v="251"/>
    <d v="2017-01-09T00:00:00"/>
    <d v="2016-12-13T00:00:00"/>
    <s v="Inland Shipping"/>
    <n v="39.950000000000003"/>
    <x v="44"/>
    <x v="9"/>
  </r>
  <r>
    <n v="10461"/>
    <s v="LILAS"/>
    <x v="173"/>
    <d v="2017-03-28T00:00:00"/>
    <d v="2017-03-05T00:00:00"/>
    <s v="Inland Shipping"/>
    <n v="743.05000000000007"/>
    <x v="44"/>
    <x v="10"/>
  </r>
  <r>
    <n v="10499"/>
    <s v="LILAS"/>
    <x v="305"/>
    <d v="2017-05-06T00:00:00"/>
    <d v="2017-04-16T00:00:00"/>
    <s v="Natioanl Package"/>
    <n v="510.09999999999997"/>
    <x v="44"/>
    <x v="4"/>
  </r>
  <r>
    <n v="10543"/>
    <s v="LILAS"/>
    <x v="306"/>
    <d v="2017-06-18T00:00:00"/>
    <d v="2017-05-23T00:00:00"/>
    <s v="Natioanl Package"/>
    <n v="240.85000000000002"/>
    <x v="44"/>
    <x v="7"/>
  </r>
  <r>
    <n v="10780"/>
    <s v="LILAS"/>
    <x v="40"/>
    <d v="2017-12-30T00:00:00"/>
    <d v="2017-12-25T00:00:00"/>
    <s v="Speed Express"/>
    <n v="210.65"/>
    <x v="44"/>
    <x v="9"/>
  </r>
  <r>
    <n v="10823"/>
    <s v="LILAS"/>
    <x v="123"/>
    <d v="2018-02-06T00:00:00"/>
    <d v="2018-01-13T00:00:00"/>
    <s v="Natioanl Package"/>
    <n v="819.85"/>
    <x v="44"/>
    <x v="2"/>
  </r>
  <r>
    <n v="10899"/>
    <s v="LILAS"/>
    <x v="307"/>
    <d v="2018-03-20T00:00:00"/>
    <d v="2018-02-26T00:00:00"/>
    <s v="Inland Shipping"/>
    <n v="6.05"/>
    <x v="44"/>
    <x v="10"/>
  </r>
  <r>
    <n v="10997"/>
    <s v="LILAS"/>
    <x v="308"/>
    <d v="2018-05-15T00:00:00"/>
    <d v="2018-04-13T00:00:00"/>
    <s v="Natioanl Package"/>
    <n v="369.54999999999995"/>
    <x v="44"/>
    <x v="4"/>
  </r>
  <r>
    <n v="11065"/>
    <s v="LILAS"/>
    <x v="309"/>
    <d v="2018-05-29T00:00:00"/>
    <m/>
    <s v="Speed Express"/>
    <n v="64.55"/>
    <x v="44"/>
    <x v="7"/>
  </r>
  <r>
    <n v="11071"/>
    <s v="LILAS"/>
    <x v="158"/>
    <d v="2018-06-02T00:00:00"/>
    <m/>
    <s v="Speed Express"/>
    <n v="4.6500000000000004"/>
    <x v="44"/>
    <x v="7"/>
  </r>
  <r>
    <n v="10405"/>
    <s v="LINOD"/>
    <x v="310"/>
    <d v="2017-02-03T00:00:00"/>
    <d v="2017-01-22T00:00:00"/>
    <s v="Speed Express"/>
    <n v="174.1"/>
    <x v="45"/>
    <x v="2"/>
  </r>
  <r>
    <n v="10485"/>
    <s v="LINOD"/>
    <x v="311"/>
    <d v="2017-04-08T00:00:00"/>
    <d v="2017-03-31T00:00:00"/>
    <s v="Natioanl Package"/>
    <n v="322.25"/>
    <x v="45"/>
    <x v="3"/>
  </r>
  <r>
    <n v="10638"/>
    <s v="LINOD"/>
    <x v="312"/>
    <d v="2017-09-17T00:00:00"/>
    <d v="2017-09-01T00:00:00"/>
    <s v="Speed Express"/>
    <n v="792.2"/>
    <x v="45"/>
    <x v="0"/>
  </r>
  <r>
    <n v="10697"/>
    <s v="LINOD"/>
    <x v="313"/>
    <d v="2017-11-05T00:00:00"/>
    <d v="2017-10-14T00:00:00"/>
    <s v="Speed Express"/>
    <n v="227.60000000000002"/>
    <x v="45"/>
    <x v="1"/>
  </r>
  <r>
    <n v="10729"/>
    <s v="LINOD"/>
    <x v="314"/>
    <d v="2017-12-16T00:00:00"/>
    <d v="2017-11-14T00:00:00"/>
    <s v="Inland Shipping"/>
    <n v="705.3"/>
    <x v="45"/>
    <x v="6"/>
  </r>
  <r>
    <n v="10811"/>
    <s v="LINOD"/>
    <x v="315"/>
    <d v="2018-01-30T00:00:00"/>
    <d v="2018-01-08T00:00:00"/>
    <s v="Speed Express"/>
    <n v="156.1"/>
    <x v="45"/>
    <x v="2"/>
  </r>
  <r>
    <n v="10838"/>
    <s v="LINOD"/>
    <x v="316"/>
    <d v="2018-02-16T00:00:00"/>
    <d v="2018-01-23T00:00:00"/>
    <s v="Inland Shipping"/>
    <n v="296.39999999999998"/>
    <x v="45"/>
    <x v="2"/>
  </r>
  <r>
    <n v="10840"/>
    <s v="LINOD"/>
    <x v="316"/>
    <d v="2018-03-02T00:00:00"/>
    <d v="2018-02-16T00:00:00"/>
    <s v="Natioanl Package"/>
    <n v="13.55"/>
    <x v="45"/>
    <x v="2"/>
  </r>
  <r>
    <n v="10919"/>
    <s v="LINOD"/>
    <x v="85"/>
    <d v="2018-03-30T00:00:00"/>
    <d v="2018-03-04T00:00:00"/>
    <s v="Natioanl Package"/>
    <n v="99"/>
    <x v="45"/>
    <x v="3"/>
  </r>
  <r>
    <n v="10954"/>
    <s v="LINOD"/>
    <x v="49"/>
    <d v="2018-04-28T00:00:00"/>
    <d v="2018-03-20T00:00:00"/>
    <s v="Speed Express"/>
    <n v="139.55000000000001"/>
    <x v="45"/>
    <x v="3"/>
  </r>
  <r>
    <n v="11014"/>
    <s v="LINOD"/>
    <x v="28"/>
    <d v="2018-05-08T00:00:00"/>
    <d v="2018-04-15T00:00:00"/>
    <s v="Inland Shipping"/>
    <n v="118"/>
    <x v="45"/>
    <x v="4"/>
  </r>
  <r>
    <n v="11039"/>
    <s v="LINOD"/>
    <x v="212"/>
    <d v="2018-05-19T00:00:00"/>
    <m/>
    <s v="Natioanl Package"/>
    <n v="325"/>
    <x v="45"/>
    <x v="4"/>
  </r>
  <r>
    <n v="10307"/>
    <s v="LONEP"/>
    <x v="317"/>
    <d v="2016-10-15T00:00:00"/>
    <d v="2016-09-25T00:00:00"/>
    <s v="Natioanl Package"/>
    <n v="2.8000000000000003"/>
    <x v="46"/>
    <x v="5"/>
  </r>
  <r>
    <n v="10317"/>
    <s v="LONEP"/>
    <x v="318"/>
    <d v="2016-10-28T00:00:00"/>
    <d v="2016-10-10T00:00:00"/>
    <s v="Speed Express"/>
    <n v="63.449999999999996"/>
    <x v="46"/>
    <x v="5"/>
  </r>
  <r>
    <n v="10544"/>
    <s v="LONEP"/>
    <x v="306"/>
    <d v="2017-06-18T00:00:00"/>
    <d v="2017-05-30T00:00:00"/>
    <s v="Speed Express"/>
    <n v="124.55"/>
    <x v="46"/>
    <x v="7"/>
  </r>
  <r>
    <n v="10662"/>
    <s v="LONEP"/>
    <x v="256"/>
    <d v="2017-10-07T00:00:00"/>
    <d v="2017-09-18T00:00:00"/>
    <s v="Natioanl Package"/>
    <n v="6.4"/>
    <x v="46"/>
    <x v="5"/>
  </r>
  <r>
    <n v="10665"/>
    <s v="LONEP"/>
    <x v="319"/>
    <d v="2017-10-09T00:00:00"/>
    <d v="2017-09-17T00:00:00"/>
    <s v="Natioanl Package"/>
    <n v="131.54999999999998"/>
    <x v="46"/>
    <x v="5"/>
  </r>
  <r>
    <n v="10867"/>
    <s v="LONEP"/>
    <x v="42"/>
    <d v="2018-03-17T00:00:00"/>
    <d v="2018-02-11T00:00:00"/>
    <s v="Speed Express"/>
    <n v="9.65"/>
    <x v="46"/>
    <x v="10"/>
  </r>
  <r>
    <n v="10883"/>
    <s v="LONEP"/>
    <x v="301"/>
    <d v="2018-03-12T00:00:00"/>
    <d v="2018-02-20T00:00:00"/>
    <s v="Inland Shipping"/>
    <n v="2.6500000000000004"/>
    <x v="46"/>
    <x v="10"/>
  </r>
  <r>
    <n v="11018"/>
    <s v="LONEP"/>
    <x v="157"/>
    <d v="2018-05-11T00:00:00"/>
    <d v="2018-04-16T00:00:00"/>
    <s v="Natioanl Package"/>
    <n v="58.25"/>
    <x v="46"/>
    <x v="4"/>
  </r>
  <r>
    <n v="10275"/>
    <s v="MAGAA"/>
    <x v="320"/>
    <d v="2016-09-04T00:00:00"/>
    <d v="2016-08-09T00:00:00"/>
    <s v="Speed Express"/>
    <n v="134.65"/>
    <x v="47"/>
    <x v="0"/>
  </r>
  <r>
    <n v="10300"/>
    <s v="MAGAA"/>
    <x v="321"/>
    <d v="2016-10-07T00:00:00"/>
    <d v="2016-09-18T00:00:00"/>
    <s v="Natioanl Package"/>
    <n v="88.4"/>
    <x v="47"/>
    <x v="5"/>
  </r>
  <r>
    <n v="10404"/>
    <s v="MAGAA"/>
    <x v="141"/>
    <d v="2017-01-31T00:00:00"/>
    <d v="2017-01-08T00:00:00"/>
    <s v="Speed Express"/>
    <n v="779.85"/>
    <x v="47"/>
    <x v="2"/>
  </r>
  <r>
    <n v="10467"/>
    <s v="MAGAA"/>
    <x v="114"/>
    <d v="2017-04-03T00:00:00"/>
    <d v="2017-03-11T00:00:00"/>
    <s v="Natioanl Package"/>
    <n v="24.65"/>
    <x v="47"/>
    <x v="3"/>
  </r>
  <r>
    <n v="10635"/>
    <s v="MAGAA"/>
    <x v="322"/>
    <d v="2017-09-15T00:00:00"/>
    <d v="2017-08-21T00:00:00"/>
    <s v="Inland Shipping"/>
    <n v="237.3"/>
    <x v="47"/>
    <x v="0"/>
  </r>
  <r>
    <n v="10754"/>
    <s v="MAGAA"/>
    <x v="196"/>
    <d v="2017-12-23T00:00:00"/>
    <d v="2017-11-27T00:00:00"/>
    <s v="Inland Shipping"/>
    <n v="11.899999999999999"/>
    <x v="47"/>
    <x v="6"/>
  </r>
  <r>
    <n v="10784"/>
    <s v="MAGAA"/>
    <x v="226"/>
    <d v="2018-01-15T00:00:00"/>
    <d v="2017-12-22T00:00:00"/>
    <s v="Inland Shipping"/>
    <n v="350.45000000000005"/>
    <x v="47"/>
    <x v="9"/>
  </r>
  <r>
    <n v="10818"/>
    <s v="MAGAA"/>
    <x v="102"/>
    <d v="2018-02-04T00:00:00"/>
    <d v="2018-01-12T00:00:00"/>
    <s v="Inland Shipping"/>
    <n v="327.40000000000003"/>
    <x v="47"/>
    <x v="2"/>
  </r>
  <r>
    <n v="10939"/>
    <s v="MAGAA"/>
    <x v="104"/>
    <d v="2018-04-07T00:00:00"/>
    <d v="2018-03-13T00:00:00"/>
    <s v="Natioanl Package"/>
    <n v="381.65"/>
    <x v="47"/>
    <x v="3"/>
  </r>
  <r>
    <n v="10950"/>
    <s v="MAGAA"/>
    <x v="4"/>
    <d v="2018-04-13T00:00:00"/>
    <d v="2018-03-23T00:00:00"/>
    <s v="Natioanl Package"/>
    <n v="12.5"/>
    <x v="47"/>
    <x v="3"/>
  </r>
  <r>
    <n v="10529"/>
    <s v="MAISD"/>
    <x v="323"/>
    <d v="2017-06-04T00:00:00"/>
    <d v="2017-05-09T00:00:00"/>
    <s v="Natioanl Package"/>
    <n v="333.45"/>
    <x v="48"/>
    <x v="7"/>
  </r>
  <r>
    <n v="10649"/>
    <s v="MAISD"/>
    <x v="324"/>
    <d v="2017-09-25T00:00:00"/>
    <d v="2017-08-29T00:00:00"/>
    <s v="Inland Shipping"/>
    <n v="31"/>
    <x v="48"/>
    <x v="0"/>
  </r>
  <r>
    <n v="10760"/>
    <s v="MAISD"/>
    <x v="325"/>
    <d v="2017-12-29T00:00:00"/>
    <d v="2017-12-10T00:00:00"/>
    <s v="Speed Express"/>
    <n v="778.19999999999993"/>
    <x v="48"/>
    <x v="9"/>
  </r>
  <r>
    <n v="10892"/>
    <s v="MAISD"/>
    <x v="298"/>
    <d v="2018-03-17T00:00:00"/>
    <d v="2018-02-19T00:00:00"/>
    <s v="Natioanl Package"/>
    <n v="601.35"/>
    <x v="48"/>
    <x v="10"/>
  </r>
  <r>
    <n v="10896"/>
    <s v="MAISD"/>
    <x v="260"/>
    <d v="2018-03-19T00:00:00"/>
    <d v="2018-02-27T00:00:00"/>
    <s v="Inland Shipping"/>
    <n v="162.25"/>
    <x v="48"/>
    <x v="10"/>
  </r>
  <r>
    <n v="10978"/>
    <s v="MAISD"/>
    <x v="154"/>
    <d v="2018-04-23T00:00:00"/>
    <d v="2018-04-23T00:00:00"/>
    <s v="Natioanl Package"/>
    <n v="164.1"/>
    <x v="48"/>
    <x v="3"/>
  </r>
  <r>
    <n v="11004"/>
    <s v="MAISD"/>
    <x v="224"/>
    <d v="2018-05-05T00:00:00"/>
    <d v="2018-04-20T00:00:00"/>
    <s v="Speed Express"/>
    <n v="224.20000000000002"/>
    <x v="48"/>
    <x v="4"/>
  </r>
  <r>
    <n v="10332"/>
    <s v="MEREP"/>
    <x v="326"/>
    <d v="2016-11-28T00:00:00"/>
    <d v="2016-10-21T00:00:00"/>
    <s v="Natioanl Package"/>
    <n v="264.20000000000005"/>
    <x v="49"/>
    <x v="1"/>
  </r>
  <r>
    <n v="10339"/>
    <s v="MEREP"/>
    <x v="327"/>
    <d v="2016-11-25T00:00:00"/>
    <d v="2016-11-04T00:00:00"/>
    <s v="Natioanl Package"/>
    <n v="78.3"/>
    <x v="49"/>
    <x v="1"/>
  </r>
  <r>
    <n v="10376"/>
    <s v="MEREP"/>
    <x v="328"/>
    <d v="2017-01-06T00:00:00"/>
    <d v="2016-12-13T00:00:00"/>
    <s v="Natioanl Package"/>
    <n v="101.95"/>
    <x v="49"/>
    <x v="9"/>
  </r>
  <r>
    <n v="10424"/>
    <s v="MEREP"/>
    <x v="213"/>
    <d v="2017-02-20T00:00:00"/>
    <d v="2017-01-27T00:00:00"/>
    <s v="Natioanl Package"/>
    <n v="1853.0500000000002"/>
    <x v="49"/>
    <x v="2"/>
  </r>
  <r>
    <n v="10439"/>
    <s v="MEREP"/>
    <x v="329"/>
    <d v="2017-03-07T00:00:00"/>
    <d v="2017-02-10T00:00:00"/>
    <s v="Inland Shipping"/>
    <n v="20.350000000000001"/>
    <x v="49"/>
    <x v="10"/>
  </r>
  <r>
    <n v="10505"/>
    <s v="MEREP"/>
    <x v="330"/>
    <d v="2017-05-12T00:00:00"/>
    <d v="2017-04-21T00:00:00"/>
    <s v="Inland Shipping"/>
    <n v="35.65"/>
    <x v="49"/>
    <x v="4"/>
  </r>
  <r>
    <n v="10565"/>
    <s v="MEREP"/>
    <x v="331"/>
    <d v="2017-07-09T00:00:00"/>
    <d v="2017-06-18T00:00:00"/>
    <s v="Natioanl Package"/>
    <n v="35.75"/>
    <x v="49"/>
    <x v="8"/>
  </r>
  <r>
    <n v="10570"/>
    <s v="MEREP"/>
    <x v="144"/>
    <d v="2017-07-15T00:00:00"/>
    <d v="2017-06-19T00:00:00"/>
    <s v="Inland Shipping"/>
    <n v="944.95"/>
    <x v="49"/>
    <x v="8"/>
  </r>
  <r>
    <n v="10590"/>
    <s v="MEREP"/>
    <x v="332"/>
    <d v="2017-08-04T00:00:00"/>
    <d v="2017-07-14T00:00:00"/>
    <s v="Inland Shipping"/>
    <n v="223.85000000000002"/>
    <x v="49"/>
    <x v="11"/>
  </r>
  <r>
    <n v="10605"/>
    <s v="MEREP"/>
    <x v="333"/>
    <d v="2017-08-18T00:00:00"/>
    <d v="2017-07-29T00:00:00"/>
    <s v="Natioanl Package"/>
    <n v="1895.65"/>
    <x v="49"/>
    <x v="11"/>
  </r>
  <r>
    <n v="10618"/>
    <s v="MEREP"/>
    <x v="334"/>
    <d v="2017-09-12T00:00:00"/>
    <d v="2017-08-08T00:00:00"/>
    <s v="Speed Express"/>
    <n v="773.40000000000009"/>
    <x v="49"/>
    <x v="0"/>
  </r>
  <r>
    <n v="10619"/>
    <s v="MEREP"/>
    <x v="335"/>
    <d v="2017-09-01T00:00:00"/>
    <d v="2017-08-07T00:00:00"/>
    <s v="Inland Shipping"/>
    <n v="455.25"/>
    <x v="49"/>
    <x v="0"/>
  </r>
  <r>
    <n v="10724"/>
    <s v="MEREP"/>
    <x v="336"/>
    <d v="2017-12-11T00:00:00"/>
    <d v="2017-11-05T00:00:00"/>
    <s v="Natioanl Package"/>
    <n v="288.75"/>
    <x v="49"/>
    <x v="1"/>
  </r>
  <r>
    <n v="10277"/>
    <s v="MORGK"/>
    <x v="337"/>
    <d v="2016-09-06T00:00:00"/>
    <d v="2016-08-13T00:00:00"/>
    <s v="Inland Shipping"/>
    <n v="628.85"/>
    <x v="50"/>
    <x v="0"/>
  </r>
  <r>
    <n v="10575"/>
    <s v="MORGK"/>
    <x v="338"/>
    <d v="2017-07-04T00:00:00"/>
    <d v="2017-06-30T00:00:00"/>
    <s v="Speed Express"/>
    <n v="636.70000000000005"/>
    <x v="50"/>
    <x v="8"/>
  </r>
  <r>
    <n v="10699"/>
    <s v="MORGK"/>
    <x v="148"/>
    <d v="2017-11-06T00:00:00"/>
    <d v="2017-10-13T00:00:00"/>
    <s v="Inland Shipping"/>
    <n v="2.9"/>
    <x v="50"/>
    <x v="1"/>
  </r>
  <r>
    <n v="10779"/>
    <s v="MORGK"/>
    <x v="40"/>
    <d v="2018-01-13T00:00:00"/>
    <d v="2018-01-14T00:00:00"/>
    <s v="Natioanl Package"/>
    <n v="290.65000000000003"/>
    <x v="50"/>
    <x v="9"/>
  </r>
  <r>
    <n v="10945"/>
    <s v="MORGK"/>
    <x v="86"/>
    <d v="2018-04-09T00:00:00"/>
    <d v="2018-03-18T00:00:00"/>
    <s v="Speed Express"/>
    <n v="51.1"/>
    <x v="50"/>
    <x v="3"/>
  </r>
  <r>
    <n v="10517"/>
    <s v="NORTS"/>
    <x v="254"/>
    <d v="2017-05-22T00:00:00"/>
    <d v="2017-04-29T00:00:00"/>
    <s v="Inland Shipping"/>
    <n v="160.35"/>
    <x v="51"/>
    <x v="4"/>
  </r>
  <r>
    <n v="10752"/>
    <s v="NORTS"/>
    <x v="339"/>
    <d v="2017-12-22T00:00:00"/>
    <d v="2017-11-28T00:00:00"/>
    <s v="Inland Shipping"/>
    <n v="6.9499999999999993"/>
    <x v="51"/>
    <x v="6"/>
  </r>
  <r>
    <n v="11057"/>
    <s v="NORTS"/>
    <x v="50"/>
    <d v="2018-05-27T00:00:00"/>
    <d v="2018-05-01T00:00:00"/>
    <s v="Inland Shipping"/>
    <n v="20.65"/>
    <x v="51"/>
    <x v="4"/>
  </r>
  <r>
    <n v="10409"/>
    <s v="OCEAN"/>
    <x v="340"/>
    <d v="2017-02-06T00:00:00"/>
    <d v="2017-01-14T00:00:00"/>
    <s v="Speed Express"/>
    <n v="149.14999999999998"/>
    <x v="52"/>
    <x v="2"/>
  </r>
  <r>
    <n v="10531"/>
    <s v="OCEAN"/>
    <x v="341"/>
    <d v="2017-06-05T00:00:00"/>
    <d v="2017-05-19T00:00:00"/>
    <s v="Speed Express"/>
    <n v="40.599999999999994"/>
    <x v="52"/>
    <x v="7"/>
  </r>
  <r>
    <n v="10898"/>
    <s v="OCEAN"/>
    <x v="307"/>
    <d v="2018-03-20T00:00:00"/>
    <d v="2018-03-06T00:00:00"/>
    <s v="Natioanl Package"/>
    <n v="6.35"/>
    <x v="52"/>
    <x v="10"/>
  </r>
  <r>
    <n v="10958"/>
    <s v="OCEAN"/>
    <x v="217"/>
    <d v="2018-04-15T00:00:00"/>
    <d v="2018-03-27T00:00:00"/>
    <s v="Natioanl Package"/>
    <n v="247.8"/>
    <x v="52"/>
    <x v="3"/>
  </r>
  <r>
    <n v="10986"/>
    <s v="OCEAN"/>
    <x v="261"/>
    <d v="2018-04-27T00:00:00"/>
    <d v="2018-04-21T00:00:00"/>
    <s v="Natioanl Package"/>
    <n v="1089.3000000000002"/>
    <x v="52"/>
    <x v="3"/>
  </r>
  <r>
    <n v="10260"/>
    <s v="OLDWO"/>
    <x v="342"/>
    <d v="2016-08-16T00:00:00"/>
    <d v="2016-07-29T00:00:00"/>
    <s v="Speed Express"/>
    <n v="275.45000000000005"/>
    <x v="53"/>
    <x v="11"/>
  </r>
  <r>
    <n v="10305"/>
    <s v="OLDWO"/>
    <x v="343"/>
    <d v="2016-10-11T00:00:00"/>
    <d v="2016-10-09T00:00:00"/>
    <s v="Inland Shipping"/>
    <n v="1288.0999999999999"/>
    <x v="53"/>
    <x v="5"/>
  </r>
  <r>
    <n v="10338"/>
    <s v="OLDWO"/>
    <x v="344"/>
    <d v="2016-11-22T00:00:00"/>
    <d v="2016-10-29T00:00:00"/>
    <s v="Inland Shipping"/>
    <n v="421.04999999999995"/>
    <x v="53"/>
    <x v="1"/>
  </r>
  <r>
    <n v="10441"/>
    <s v="OLDWO"/>
    <x v="345"/>
    <d v="2017-03-24T00:00:00"/>
    <d v="2017-03-14T00:00:00"/>
    <s v="Natioanl Package"/>
    <n v="365.09999999999997"/>
    <x v="53"/>
    <x v="10"/>
  </r>
  <r>
    <n v="10594"/>
    <s v="OLDWO"/>
    <x v="296"/>
    <d v="2017-08-06T00:00:00"/>
    <d v="2017-07-16T00:00:00"/>
    <s v="Natioanl Package"/>
    <n v="26.200000000000003"/>
    <x v="53"/>
    <x v="11"/>
  </r>
  <r>
    <n v="10680"/>
    <s v="OLDWO"/>
    <x v="346"/>
    <d v="2017-10-22T00:00:00"/>
    <d v="2017-09-26T00:00:00"/>
    <s v="Speed Express"/>
    <n v="133.05000000000001"/>
    <x v="53"/>
    <x v="5"/>
  </r>
  <r>
    <n v="10706"/>
    <s v="OLDWO"/>
    <x v="21"/>
    <d v="2017-11-13T00:00:00"/>
    <d v="2017-10-21T00:00:00"/>
    <s v="Inland Shipping"/>
    <n v="678.15"/>
    <x v="53"/>
    <x v="1"/>
  </r>
  <r>
    <n v="10855"/>
    <s v="OLDWO"/>
    <x v="48"/>
    <d v="2018-02-24T00:00:00"/>
    <d v="2018-02-04T00:00:00"/>
    <s v="Speed Express"/>
    <n v="854.85"/>
    <x v="53"/>
    <x v="2"/>
  </r>
  <r>
    <n v="10965"/>
    <s v="OLDWO"/>
    <x v="111"/>
    <d v="2018-04-17T00:00:00"/>
    <d v="2018-03-30T00:00:00"/>
    <s v="Inland Shipping"/>
    <n v="721.9"/>
    <x v="53"/>
    <x v="3"/>
  </r>
  <r>
    <n v="11034"/>
    <s v="OLDWO"/>
    <x v="124"/>
    <d v="2018-06-01T00:00:00"/>
    <d v="2018-04-27T00:00:00"/>
    <s v="Speed Express"/>
    <n v="201.6"/>
    <x v="53"/>
    <x v="4"/>
  </r>
  <r>
    <n v="10407"/>
    <s v="OTTIK"/>
    <x v="347"/>
    <d v="2017-02-04T00:00:00"/>
    <d v="2017-01-30T00:00:00"/>
    <s v="Natioanl Package"/>
    <n v="457.40000000000003"/>
    <x v="54"/>
    <x v="2"/>
  </r>
  <r>
    <n v="10508"/>
    <s v="OTTIK"/>
    <x v="348"/>
    <d v="2017-05-14T00:00:00"/>
    <d v="2017-05-13T00:00:00"/>
    <s v="Natioanl Package"/>
    <n v="24.950000000000003"/>
    <x v="54"/>
    <x v="4"/>
  </r>
  <r>
    <n v="10554"/>
    <s v="OTTIK"/>
    <x v="349"/>
    <d v="2017-06-27T00:00:00"/>
    <d v="2017-06-05T00:00:00"/>
    <s v="Inland Shipping"/>
    <n v="604.85"/>
    <x v="54"/>
    <x v="7"/>
  </r>
  <r>
    <n v="10580"/>
    <s v="OTTIK"/>
    <x v="163"/>
    <d v="2017-07-24T00:00:00"/>
    <d v="2017-07-01T00:00:00"/>
    <s v="Inland Shipping"/>
    <n v="379.45"/>
    <x v="54"/>
    <x v="8"/>
  </r>
  <r>
    <n v="10684"/>
    <s v="OTTIK"/>
    <x v="128"/>
    <d v="2017-10-24T00:00:00"/>
    <d v="2017-09-30T00:00:00"/>
    <s v="Speed Express"/>
    <n v="728.15"/>
    <x v="54"/>
    <x v="5"/>
  </r>
  <r>
    <n v="10766"/>
    <s v="OTTIK"/>
    <x v="350"/>
    <d v="2018-01-02T00:00:00"/>
    <d v="2017-12-09T00:00:00"/>
    <s v="Speed Express"/>
    <n v="787.75"/>
    <x v="54"/>
    <x v="9"/>
  </r>
  <r>
    <n v="10833"/>
    <s v="OTTIK"/>
    <x v="3"/>
    <d v="2018-02-12T00:00:00"/>
    <d v="2018-01-23T00:00:00"/>
    <s v="Natioanl Package"/>
    <n v="357.45"/>
    <x v="54"/>
    <x v="2"/>
  </r>
  <r>
    <n v="10999"/>
    <s v="OTTIK"/>
    <x v="308"/>
    <d v="2018-05-01T00:00:00"/>
    <d v="2018-04-10T00:00:00"/>
    <s v="Natioanl Package"/>
    <n v="481.75"/>
    <x v="54"/>
    <x v="4"/>
  </r>
  <r>
    <n v="11020"/>
    <s v="OTTIK"/>
    <x v="99"/>
    <d v="2018-05-12T00:00:00"/>
    <d v="2018-04-16T00:00:00"/>
    <s v="Natioanl Package"/>
    <n v="216.5"/>
    <x v="54"/>
    <x v="4"/>
  </r>
  <r>
    <n v="10322"/>
    <s v="PERIC"/>
    <x v="351"/>
    <d v="2016-11-01T00:00:00"/>
    <d v="2016-10-23T00:00:00"/>
    <s v="Inland Shipping"/>
    <n v="2"/>
    <x v="55"/>
    <x v="1"/>
  </r>
  <r>
    <n v="10354"/>
    <s v="PERIC"/>
    <x v="352"/>
    <d v="2016-12-12T00:00:00"/>
    <d v="2016-11-20T00:00:00"/>
    <s v="Inland Shipping"/>
    <n v="269"/>
    <x v="55"/>
    <x v="6"/>
  </r>
  <r>
    <n v="10474"/>
    <s v="PERIC"/>
    <x v="265"/>
    <d v="2017-04-10T00:00:00"/>
    <d v="2017-03-21T00:00:00"/>
    <s v="Natioanl Package"/>
    <n v="417.45"/>
    <x v="55"/>
    <x v="3"/>
  </r>
  <r>
    <n v="10502"/>
    <s v="PERIC"/>
    <x v="353"/>
    <d v="2017-05-08T00:00:00"/>
    <d v="2017-04-29T00:00:00"/>
    <s v="Speed Express"/>
    <n v="346.59999999999997"/>
    <x v="55"/>
    <x v="4"/>
  </r>
  <r>
    <n v="10995"/>
    <s v="PERIC"/>
    <x v="354"/>
    <d v="2018-04-30T00:00:00"/>
    <d v="2018-04-06T00:00:00"/>
    <s v="Inland Shipping"/>
    <n v="230"/>
    <x v="55"/>
    <x v="4"/>
  </r>
  <r>
    <n v="11073"/>
    <s v="PERIC"/>
    <x v="158"/>
    <d v="2018-06-02T00:00:00"/>
    <m/>
    <s v="Natioanl Package"/>
    <n v="124.75"/>
    <x v="55"/>
    <x v="7"/>
  </r>
  <r>
    <n v="10353"/>
    <s v="PICCO"/>
    <x v="355"/>
    <d v="2016-12-11T00:00:00"/>
    <d v="2016-11-25T00:00:00"/>
    <s v="Inland Shipping"/>
    <n v="1803.15"/>
    <x v="56"/>
    <x v="6"/>
  </r>
  <r>
    <n v="10392"/>
    <s v="PICCO"/>
    <x v="356"/>
    <d v="2017-01-21T00:00:00"/>
    <d v="2017-01-01T00:00:00"/>
    <s v="Inland Shipping"/>
    <n v="612.29999999999995"/>
    <x v="56"/>
    <x v="9"/>
  </r>
  <r>
    <n v="10427"/>
    <s v="PICCO"/>
    <x v="207"/>
    <d v="2017-02-24T00:00:00"/>
    <d v="2017-03-03T00:00:00"/>
    <s v="Natioanl Package"/>
    <n v="156.44999999999999"/>
    <x v="56"/>
    <x v="2"/>
  </r>
  <r>
    <n v="10489"/>
    <s v="PICCO"/>
    <x v="357"/>
    <d v="2017-04-25T00:00:00"/>
    <d v="2017-04-09T00:00:00"/>
    <s v="Natioanl Package"/>
    <n v="26.45"/>
    <x v="56"/>
    <x v="3"/>
  </r>
  <r>
    <n v="10530"/>
    <s v="PICCO"/>
    <x v="341"/>
    <d v="2017-06-05T00:00:00"/>
    <d v="2017-05-12T00:00:00"/>
    <s v="Natioanl Package"/>
    <n v="1696.1000000000001"/>
    <x v="56"/>
    <x v="7"/>
  </r>
  <r>
    <n v="10597"/>
    <s v="PICCO"/>
    <x v="358"/>
    <d v="2017-08-08T00:00:00"/>
    <d v="2017-07-18T00:00:00"/>
    <s v="Inland Shipping"/>
    <n v="175.6"/>
    <x v="56"/>
    <x v="11"/>
  </r>
  <r>
    <n v="10686"/>
    <s v="PICCO"/>
    <x v="257"/>
    <d v="2017-10-28T00:00:00"/>
    <d v="2017-10-08T00:00:00"/>
    <s v="Speed Express"/>
    <n v="482.5"/>
    <x v="56"/>
    <x v="5"/>
  </r>
  <r>
    <n v="10747"/>
    <s v="PICCO"/>
    <x v="110"/>
    <d v="2017-12-17T00:00:00"/>
    <d v="2017-11-26T00:00:00"/>
    <s v="Speed Express"/>
    <n v="586.65"/>
    <x v="56"/>
    <x v="6"/>
  </r>
  <r>
    <n v="10844"/>
    <s v="PICCO"/>
    <x v="359"/>
    <d v="2018-02-18T00:00:00"/>
    <d v="2018-01-26T00:00:00"/>
    <s v="Natioanl Package"/>
    <n v="126.1"/>
    <x v="56"/>
    <x v="2"/>
  </r>
  <r>
    <n v="11053"/>
    <s v="PICCO"/>
    <x v="181"/>
    <d v="2018-05-25T00:00:00"/>
    <d v="2018-04-29T00:00:00"/>
    <s v="Natioanl Package"/>
    <n v="265.25"/>
    <x v="56"/>
    <x v="4"/>
  </r>
  <r>
    <n v="10336"/>
    <s v="PRINI"/>
    <x v="360"/>
    <d v="2016-11-20T00:00:00"/>
    <d v="2016-10-25T00:00:00"/>
    <s v="Natioanl Package"/>
    <n v="77.55"/>
    <x v="57"/>
    <x v="1"/>
  </r>
  <r>
    <n v="10397"/>
    <s v="PRINI"/>
    <x v="185"/>
    <d v="2017-01-24T00:00:00"/>
    <d v="2017-01-02T00:00:00"/>
    <s v="Speed Express"/>
    <n v="301.3"/>
    <x v="57"/>
    <x v="9"/>
  </r>
  <r>
    <n v="10433"/>
    <s v="PRINI"/>
    <x v="172"/>
    <d v="2017-03-03T00:00:00"/>
    <d v="2017-03-04T00:00:00"/>
    <s v="Inland Shipping"/>
    <n v="369.15"/>
    <x v="57"/>
    <x v="10"/>
  </r>
  <r>
    <n v="10477"/>
    <s v="PRINI"/>
    <x v="236"/>
    <d v="2017-04-14T00:00:00"/>
    <d v="2017-03-25T00:00:00"/>
    <s v="Natioanl Package"/>
    <n v="65.099999999999994"/>
    <x v="57"/>
    <x v="3"/>
  </r>
  <r>
    <n v="10808"/>
    <s v="PRINI"/>
    <x v="285"/>
    <d v="2018-01-29T00:00:00"/>
    <d v="2018-01-09T00:00:00"/>
    <s v="Inland Shipping"/>
    <n v="227.65"/>
    <x v="57"/>
    <x v="2"/>
  </r>
  <r>
    <n v="11007"/>
    <s v="PRINI"/>
    <x v="156"/>
    <d v="2018-05-06T00:00:00"/>
    <d v="2018-04-13T00:00:00"/>
    <s v="Natioanl Package"/>
    <n v="1011.2"/>
    <x v="57"/>
    <x v="4"/>
  </r>
  <r>
    <n v="10261"/>
    <s v="QUEDE"/>
    <x v="342"/>
    <d v="2016-08-16T00:00:00"/>
    <d v="2016-07-30T00:00:00"/>
    <s v="Natioanl Package"/>
    <n v="15.25"/>
    <x v="58"/>
    <x v="11"/>
  </r>
  <r>
    <n v="10291"/>
    <s v="QUEDE"/>
    <x v="113"/>
    <d v="2016-09-24T00:00:00"/>
    <d v="2016-09-04T00:00:00"/>
    <s v="Natioanl Package"/>
    <n v="32"/>
    <x v="58"/>
    <x v="0"/>
  </r>
  <r>
    <n v="10379"/>
    <s v="QUEDE"/>
    <x v="361"/>
    <d v="2017-01-08T00:00:00"/>
    <d v="2016-12-13T00:00:00"/>
    <s v="Speed Express"/>
    <n v="225.15"/>
    <x v="58"/>
    <x v="9"/>
  </r>
  <r>
    <n v="10421"/>
    <s v="QUEDE"/>
    <x v="362"/>
    <d v="2017-03-04T00:00:00"/>
    <d v="2017-01-27T00:00:00"/>
    <s v="Speed Express"/>
    <n v="496.15000000000003"/>
    <x v="58"/>
    <x v="2"/>
  </r>
  <r>
    <n v="10587"/>
    <s v="QUEDE"/>
    <x v="363"/>
    <d v="2017-07-30T00:00:00"/>
    <d v="2017-07-09T00:00:00"/>
    <s v="Speed Express"/>
    <n v="312.60000000000002"/>
    <x v="58"/>
    <x v="11"/>
  </r>
  <r>
    <n v="10647"/>
    <s v="QUEDE"/>
    <x v="255"/>
    <d v="2017-09-10T00:00:00"/>
    <d v="2017-09-03T00:00:00"/>
    <s v="Natioanl Package"/>
    <n v="227.7"/>
    <x v="58"/>
    <x v="0"/>
  </r>
  <r>
    <n v="10720"/>
    <s v="QUEDE"/>
    <x v="364"/>
    <d v="2017-11-11T00:00:00"/>
    <d v="2017-11-05T00:00:00"/>
    <s v="Natioanl Package"/>
    <n v="47.65"/>
    <x v="58"/>
    <x v="1"/>
  </r>
  <r>
    <n v="10794"/>
    <s v="QUEDE"/>
    <x v="25"/>
    <d v="2018-01-21T00:00:00"/>
    <d v="2018-01-02T00:00:00"/>
    <s v="Speed Express"/>
    <n v="107.44999999999999"/>
    <x v="58"/>
    <x v="9"/>
  </r>
  <r>
    <n v="10989"/>
    <s v="QUEDE"/>
    <x v="133"/>
    <d v="2018-04-28T00:00:00"/>
    <d v="2018-04-02T00:00:00"/>
    <s v="Speed Express"/>
    <n v="173.79999999999998"/>
    <x v="58"/>
    <x v="3"/>
  </r>
  <r>
    <n v="10372"/>
    <s v="QUEEN"/>
    <x v="365"/>
    <d v="2017-01-01T00:00:00"/>
    <d v="2016-12-09T00:00:00"/>
    <s v="Natioanl Package"/>
    <n v="4453.8999999999996"/>
    <x v="59"/>
    <x v="9"/>
  </r>
  <r>
    <n v="10406"/>
    <s v="QUEEN"/>
    <x v="347"/>
    <d v="2017-02-18T00:00:00"/>
    <d v="2017-01-13T00:00:00"/>
    <s v="Speed Express"/>
    <n v="540.20000000000005"/>
    <x v="59"/>
    <x v="2"/>
  </r>
  <r>
    <n v="10487"/>
    <s v="QUEEN"/>
    <x v="237"/>
    <d v="2017-04-23T00:00:00"/>
    <d v="2017-03-28T00:00:00"/>
    <s v="Natioanl Package"/>
    <n v="355.34999999999997"/>
    <x v="59"/>
    <x v="3"/>
  </r>
  <r>
    <n v="10637"/>
    <s v="QUEEN"/>
    <x v="366"/>
    <d v="2017-09-16T00:00:00"/>
    <d v="2017-08-26T00:00:00"/>
    <s v="Speed Express"/>
    <n v="1006.4499999999999"/>
    <x v="59"/>
    <x v="0"/>
  </r>
  <r>
    <n v="10659"/>
    <s v="QUEEN"/>
    <x v="367"/>
    <d v="2017-10-03T00:00:00"/>
    <d v="2017-09-10T00:00:00"/>
    <s v="Natioanl Package"/>
    <n v="529.04999999999995"/>
    <x v="59"/>
    <x v="5"/>
  </r>
  <r>
    <n v="10704"/>
    <s v="QUEEN"/>
    <x v="176"/>
    <d v="2017-11-11T00:00:00"/>
    <d v="2017-11-07T00:00:00"/>
    <s v="Speed Express"/>
    <n v="23.900000000000002"/>
    <x v="59"/>
    <x v="1"/>
  </r>
  <r>
    <n v="10728"/>
    <s v="QUEEN"/>
    <x v="314"/>
    <d v="2017-12-02T00:00:00"/>
    <d v="2017-11-11T00:00:00"/>
    <s v="Natioanl Package"/>
    <n v="291.64999999999998"/>
    <x v="59"/>
    <x v="6"/>
  </r>
  <r>
    <n v="10786"/>
    <s v="QUEEN"/>
    <x v="282"/>
    <d v="2018-01-16T00:00:00"/>
    <d v="2017-12-23T00:00:00"/>
    <s v="Speed Express"/>
    <n v="554.35"/>
    <x v="59"/>
    <x v="9"/>
  </r>
  <r>
    <n v="10868"/>
    <s v="QUEEN"/>
    <x v="368"/>
    <d v="2018-03-04T00:00:00"/>
    <d v="2018-02-23T00:00:00"/>
    <s v="Natioanl Package"/>
    <n v="956.35"/>
    <x v="59"/>
    <x v="10"/>
  </r>
  <r>
    <n v="10913"/>
    <s v="QUEEN"/>
    <x v="211"/>
    <d v="2018-03-26T00:00:00"/>
    <d v="2018-03-04T00:00:00"/>
    <s v="Speed Express"/>
    <n v="165.25"/>
    <x v="59"/>
    <x v="10"/>
  </r>
  <r>
    <n v="10914"/>
    <s v="QUEEN"/>
    <x v="369"/>
    <d v="2018-03-27T00:00:00"/>
    <d v="2018-03-02T00:00:00"/>
    <s v="Speed Express"/>
    <n v="105.95"/>
    <x v="59"/>
    <x v="10"/>
  </r>
  <r>
    <n v="10961"/>
    <s v="QUEEN"/>
    <x v="205"/>
    <d v="2018-04-16T00:00:00"/>
    <d v="2018-03-30T00:00:00"/>
    <s v="Speed Express"/>
    <n v="522.35"/>
    <x v="59"/>
    <x v="3"/>
  </r>
  <r>
    <n v="11068"/>
    <s v="QUEEN"/>
    <x v="125"/>
    <d v="2018-06-01T00:00:00"/>
    <m/>
    <s v="Natioanl Package"/>
    <n v="408.75"/>
    <x v="59"/>
    <x v="7"/>
  </r>
  <r>
    <n v="10273"/>
    <s v="QUICK"/>
    <x v="370"/>
    <d v="2016-09-02T00:00:00"/>
    <d v="2016-08-12T00:00:00"/>
    <s v="Inland Shipping"/>
    <n v="380.34999999999997"/>
    <x v="60"/>
    <x v="0"/>
  </r>
  <r>
    <n v="10285"/>
    <s v="QUICK"/>
    <x v="371"/>
    <d v="2016-09-17T00:00:00"/>
    <d v="2016-08-26T00:00:00"/>
    <s v="Natioanl Package"/>
    <n v="384.15"/>
    <x v="60"/>
    <x v="0"/>
  </r>
  <r>
    <n v="10286"/>
    <s v="QUICK"/>
    <x v="372"/>
    <d v="2016-09-18T00:00:00"/>
    <d v="2016-08-30T00:00:00"/>
    <s v="Inland Shipping"/>
    <n v="1146.2"/>
    <x v="60"/>
    <x v="0"/>
  </r>
  <r>
    <n v="10313"/>
    <s v="QUICK"/>
    <x v="373"/>
    <d v="2016-10-22T00:00:00"/>
    <d v="2016-10-04T00:00:00"/>
    <s v="Natioanl Package"/>
    <n v="9.8000000000000007"/>
    <x v="60"/>
    <x v="5"/>
  </r>
  <r>
    <n v="10345"/>
    <s v="QUICK"/>
    <x v="374"/>
    <d v="2016-12-02T00:00:00"/>
    <d v="2016-11-11T00:00:00"/>
    <s v="Natioanl Package"/>
    <n v="1245.3"/>
    <x v="60"/>
    <x v="6"/>
  </r>
  <r>
    <n v="10361"/>
    <s v="QUICK"/>
    <x v="53"/>
    <d v="2016-12-20T00:00:00"/>
    <d v="2016-12-03T00:00:00"/>
    <s v="Natioanl Package"/>
    <n v="915.84999999999991"/>
    <x v="60"/>
    <x v="6"/>
  </r>
  <r>
    <n v="10418"/>
    <s v="QUICK"/>
    <x v="375"/>
    <d v="2017-02-14T00:00:00"/>
    <d v="2017-01-24T00:00:00"/>
    <s v="Speed Express"/>
    <n v="87.75"/>
    <x v="60"/>
    <x v="2"/>
  </r>
  <r>
    <n v="10451"/>
    <s v="QUICK"/>
    <x v="376"/>
    <d v="2017-03-05T00:00:00"/>
    <d v="2017-03-12T00:00:00"/>
    <s v="Inland Shipping"/>
    <n v="945.45"/>
    <x v="60"/>
    <x v="10"/>
  </r>
  <r>
    <n v="10515"/>
    <s v="QUICK"/>
    <x v="377"/>
    <d v="2017-05-07T00:00:00"/>
    <d v="2017-05-23T00:00:00"/>
    <s v="Speed Express"/>
    <n v="1022.35"/>
    <x v="60"/>
    <x v="4"/>
  </r>
  <r>
    <n v="10527"/>
    <s v="QUICK"/>
    <x v="378"/>
    <d v="2017-06-02T00:00:00"/>
    <d v="2017-05-07T00:00:00"/>
    <s v="Speed Express"/>
    <n v="209.5"/>
    <x v="60"/>
    <x v="7"/>
  </r>
  <r>
    <n v="10540"/>
    <s v="QUICK"/>
    <x v="229"/>
    <d v="2017-06-16T00:00:00"/>
    <d v="2017-06-13T00:00:00"/>
    <s v="Inland Shipping"/>
    <n v="5038.2"/>
    <x v="60"/>
    <x v="7"/>
  </r>
  <r>
    <n v="10549"/>
    <s v="QUICK"/>
    <x v="379"/>
    <d v="2017-06-10T00:00:00"/>
    <d v="2017-05-30T00:00:00"/>
    <s v="Speed Express"/>
    <n v="856.2"/>
    <x v="60"/>
    <x v="7"/>
  </r>
  <r>
    <n v="10588"/>
    <s v="QUICK"/>
    <x v="380"/>
    <d v="2017-07-31T00:00:00"/>
    <d v="2017-07-10T00:00:00"/>
    <s v="Inland Shipping"/>
    <n v="973.34999999999991"/>
    <x v="60"/>
    <x v="11"/>
  </r>
  <r>
    <n v="10658"/>
    <s v="QUICK"/>
    <x v="367"/>
    <d v="2017-10-03T00:00:00"/>
    <d v="2017-09-08T00:00:00"/>
    <s v="Speed Express"/>
    <n v="1820.75"/>
    <x v="60"/>
    <x v="5"/>
  </r>
  <r>
    <n v="10691"/>
    <s v="QUICK"/>
    <x v="1"/>
    <d v="2017-11-14T00:00:00"/>
    <d v="2017-10-22T00:00:00"/>
    <s v="Natioanl Package"/>
    <n v="4050.25"/>
    <x v="60"/>
    <x v="1"/>
  </r>
  <r>
    <n v="10694"/>
    <s v="QUICK"/>
    <x v="381"/>
    <d v="2017-11-03T00:00:00"/>
    <d v="2017-10-09T00:00:00"/>
    <s v="Inland Shipping"/>
    <n v="1991.8000000000002"/>
    <x v="60"/>
    <x v="1"/>
  </r>
  <r>
    <n v="10721"/>
    <s v="QUICK"/>
    <x v="382"/>
    <d v="2017-11-26T00:00:00"/>
    <d v="2017-10-31T00:00:00"/>
    <s v="Inland Shipping"/>
    <n v="244.60000000000002"/>
    <x v="60"/>
    <x v="1"/>
  </r>
  <r>
    <n v="10745"/>
    <s v="QUICK"/>
    <x v="383"/>
    <d v="2017-12-16T00:00:00"/>
    <d v="2017-11-27T00:00:00"/>
    <s v="Speed Express"/>
    <n v="17.600000000000001"/>
    <x v="60"/>
    <x v="6"/>
  </r>
  <r>
    <n v="10765"/>
    <s v="QUICK"/>
    <x v="384"/>
    <d v="2018-01-01T00:00:00"/>
    <d v="2017-12-09T00:00:00"/>
    <s v="Inland Shipping"/>
    <n v="213.70000000000002"/>
    <x v="60"/>
    <x v="9"/>
  </r>
  <r>
    <n v="10788"/>
    <s v="QUICK"/>
    <x v="168"/>
    <d v="2018-01-19T00:00:00"/>
    <d v="2018-01-19T00:00:00"/>
    <s v="Natioanl Package"/>
    <n v="213.5"/>
    <x v="60"/>
    <x v="9"/>
  </r>
  <r>
    <n v="10845"/>
    <s v="QUICK"/>
    <x v="359"/>
    <d v="2018-02-04T00:00:00"/>
    <d v="2018-01-30T00:00:00"/>
    <s v="Speed Express"/>
    <n v="1064.8999999999999"/>
    <x v="60"/>
    <x v="2"/>
  </r>
  <r>
    <n v="10865"/>
    <s v="QUICK"/>
    <x v="26"/>
    <d v="2018-02-16T00:00:00"/>
    <d v="2018-02-12T00:00:00"/>
    <s v="Speed Express"/>
    <n v="1740.6999999999998"/>
    <x v="60"/>
    <x v="10"/>
  </r>
  <r>
    <n v="10878"/>
    <s v="QUICK"/>
    <x v="178"/>
    <d v="2018-03-10T00:00:00"/>
    <d v="2018-02-12T00:00:00"/>
    <s v="Speed Express"/>
    <n v="233.45"/>
    <x v="60"/>
    <x v="10"/>
  </r>
  <r>
    <n v="10938"/>
    <s v="QUICK"/>
    <x v="104"/>
    <d v="2018-04-07T00:00:00"/>
    <d v="2018-03-16T00:00:00"/>
    <s v="Natioanl Package"/>
    <n v="159.44999999999999"/>
    <x v="60"/>
    <x v="3"/>
  </r>
  <r>
    <n v="10962"/>
    <s v="QUICK"/>
    <x v="205"/>
    <d v="2018-04-16T00:00:00"/>
    <d v="2018-03-23T00:00:00"/>
    <s v="Natioanl Package"/>
    <n v="1378.95"/>
    <x v="60"/>
    <x v="3"/>
  </r>
  <r>
    <n v="10991"/>
    <s v="QUICK"/>
    <x v="155"/>
    <d v="2018-04-29T00:00:00"/>
    <d v="2018-04-07T00:00:00"/>
    <s v="Speed Express"/>
    <n v="192.54999999999998"/>
    <x v="60"/>
    <x v="4"/>
  </r>
  <r>
    <n v="10996"/>
    <s v="QUICK"/>
    <x v="354"/>
    <d v="2018-04-30T00:00:00"/>
    <d v="2018-04-10T00:00:00"/>
    <s v="Natioanl Package"/>
    <n v="5.6000000000000005"/>
    <x v="60"/>
    <x v="4"/>
  </r>
  <r>
    <n v="11021"/>
    <s v="QUICK"/>
    <x v="99"/>
    <d v="2018-05-12T00:00:00"/>
    <d v="2018-04-21T00:00:00"/>
    <s v="Speed Express"/>
    <n v="1485.9"/>
    <x v="60"/>
    <x v="4"/>
  </r>
  <r>
    <n v="10448"/>
    <s v="RANCH"/>
    <x v="385"/>
    <d v="2017-03-17T00:00:00"/>
    <d v="2017-02-24T00:00:00"/>
    <s v="Natioanl Package"/>
    <n v="194.1"/>
    <x v="61"/>
    <x v="10"/>
  </r>
  <r>
    <n v="10716"/>
    <s v="RANCH"/>
    <x v="190"/>
    <d v="2017-11-21T00:00:00"/>
    <d v="2017-10-27T00:00:00"/>
    <s v="Natioanl Package"/>
    <n v="112.85"/>
    <x v="61"/>
    <x v="1"/>
  </r>
  <r>
    <n v="10828"/>
    <s v="RANCH"/>
    <x v="270"/>
    <d v="2018-01-27T00:00:00"/>
    <d v="2018-02-04T00:00:00"/>
    <s v="Speed Express"/>
    <n v="454.25"/>
    <x v="61"/>
    <x v="2"/>
  </r>
  <r>
    <n v="10916"/>
    <s v="RANCH"/>
    <x v="369"/>
    <d v="2018-03-27T00:00:00"/>
    <d v="2018-03-09T00:00:00"/>
    <s v="Natioanl Package"/>
    <n v="318.85000000000002"/>
    <x v="61"/>
    <x v="10"/>
  </r>
  <r>
    <n v="11019"/>
    <s v="RANCH"/>
    <x v="157"/>
    <d v="2018-05-11T00:00:00"/>
    <m/>
    <s v="Inland Shipping"/>
    <n v="15.85"/>
    <x v="61"/>
    <x v="4"/>
  </r>
  <r>
    <n v="10262"/>
    <s v="RATTC"/>
    <x v="386"/>
    <d v="2016-08-19T00:00:00"/>
    <d v="2016-07-25T00:00:00"/>
    <s v="Inland Shipping"/>
    <n v="241.45"/>
    <x v="62"/>
    <x v="11"/>
  </r>
  <r>
    <n v="10272"/>
    <s v="RATTC"/>
    <x v="387"/>
    <d v="2016-08-30T00:00:00"/>
    <d v="2016-08-06T00:00:00"/>
    <s v="Natioanl Package"/>
    <n v="490.15"/>
    <x v="62"/>
    <x v="0"/>
  </r>
  <r>
    <n v="10294"/>
    <s v="RATTC"/>
    <x v="388"/>
    <d v="2016-09-27T00:00:00"/>
    <d v="2016-09-05T00:00:00"/>
    <s v="Natioanl Package"/>
    <n v="736.3"/>
    <x v="62"/>
    <x v="0"/>
  </r>
  <r>
    <n v="10314"/>
    <s v="RATTC"/>
    <x v="389"/>
    <d v="2016-10-23T00:00:00"/>
    <d v="2016-10-04T00:00:00"/>
    <s v="Natioanl Package"/>
    <n v="370.79999999999995"/>
    <x v="62"/>
    <x v="5"/>
  </r>
  <r>
    <n v="10316"/>
    <s v="RATTC"/>
    <x v="390"/>
    <d v="2016-10-25T00:00:00"/>
    <d v="2016-10-08T00:00:00"/>
    <s v="Inland Shipping"/>
    <n v="750.75"/>
    <x v="62"/>
    <x v="5"/>
  </r>
  <r>
    <n v="10346"/>
    <s v="RATTC"/>
    <x v="391"/>
    <d v="2016-12-17T00:00:00"/>
    <d v="2016-11-08T00:00:00"/>
    <s v="Inland Shipping"/>
    <n v="710.40000000000009"/>
    <x v="62"/>
    <x v="6"/>
  </r>
  <r>
    <n v="10401"/>
    <s v="RATTC"/>
    <x v="130"/>
    <d v="2017-01-29T00:00:00"/>
    <d v="2017-01-10T00:00:00"/>
    <s v="Speed Express"/>
    <n v="62.55"/>
    <x v="62"/>
    <x v="2"/>
  </r>
  <r>
    <n v="10479"/>
    <s v="RATTC"/>
    <x v="392"/>
    <d v="2017-04-16T00:00:00"/>
    <d v="2017-03-21T00:00:00"/>
    <s v="Inland Shipping"/>
    <n v="3544.75"/>
    <x v="62"/>
    <x v="3"/>
  </r>
  <r>
    <n v="10564"/>
    <s v="RATTC"/>
    <x v="393"/>
    <d v="2017-07-08T00:00:00"/>
    <d v="2017-06-16T00:00:00"/>
    <s v="Inland Shipping"/>
    <n v="68.75"/>
    <x v="62"/>
    <x v="8"/>
  </r>
  <r>
    <n v="10569"/>
    <s v="RATTC"/>
    <x v="394"/>
    <d v="2017-07-14T00:00:00"/>
    <d v="2017-07-11T00:00:00"/>
    <s v="Speed Express"/>
    <n v="294.89999999999998"/>
    <x v="62"/>
    <x v="8"/>
  </r>
  <r>
    <n v="10598"/>
    <s v="RATTC"/>
    <x v="395"/>
    <d v="2017-08-11T00:00:00"/>
    <d v="2017-07-18T00:00:00"/>
    <s v="Inland Shipping"/>
    <n v="222.10000000000002"/>
    <x v="62"/>
    <x v="11"/>
  </r>
  <r>
    <n v="10761"/>
    <s v="RATTC"/>
    <x v="177"/>
    <d v="2017-12-30T00:00:00"/>
    <d v="2017-12-08T00:00:00"/>
    <s v="Natioanl Package"/>
    <n v="93.3"/>
    <x v="62"/>
    <x v="9"/>
  </r>
  <r>
    <n v="10820"/>
    <s v="RATTC"/>
    <x v="102"/>
    <d v="2018-02-04T00:00:00"/>
    <d v="2018-01-13T00:00:00"/>
    <s v="Natioanl Package"/>
    <n v="187.60000000000002"/>
    <x v="62"/>
    <x v="2"/>
  </r>
  <r>
    <n v="10852"/>
    <s v="RATTC"/>
    <x v="396"/>
    <d v="2018-02-09T00:00:00"/>
    <d v="2018-01-30T00:00:00"/>
    <s v="Speed Express"/>
    <n v="870.25"/>
    <x v="62"/>
    <x v="2"/>
  </r>
  <r>
    <n v="10889"/>
    <s v="RATTC"/>
    <x v="129"/>
    <d v="2018-03-16T00:00:00"/>
    <d v="2018-02-23T00:00:00"/>
    <s v="Inland Shipping"/>
    <n v="1403.0500000000002"/>
    <x v="62"/>
    <x v="10"/>
  </r>
  <r>
    <n v="10988"/>
    <s v="RATTC"/>
    <x v="133"/>
    <d v="2018-04-28T00:00:00"/>
    <d v="2018-04-10T00:00:00"/>
    <s v="Natioanl Package"/>
    <n v="305.7"/>
    <x v="62"/>
    <x v="3"/>
  </r>
  <r>
    <n v="11000"/>
    <s v="RATTC"/>
    <x v="180"/>
    <d v="2018-05-04T00:00:00"/>
    <d v="2018-04-14T00:00:00"/>
    <s v="Inland Shipping"/>
    <n v="275.59999999999997"/>
    <x v="62"/>
    <x v="4"/>
  </r>
  <r>
    <n v="11077"/>
    <s v="RATTC"/>
    <x v="80"/>
    <d v="2018-06-03T00:00:00"/>
    <m/>
    <s v="Natioanl Package"/>
    <n v="42.65"/>
    <x v="62"/>
    <x v="7"/>
  </r>
  <r>
    <n v="10288"/>
    <s v="REGGC"/>
    <x v="397"/>
    <d v="2016-09-20T00:00:00"/>
    <d v="2016-09-03T00:00:00"/>
    <s v="Speed Express"/>
    <n v="37.25"/>
    <x v="63"/>
    <x v="0"/>
  </r>
  <r>
    <n v="10428"/>
    <s v="REGGC"/>
    <x v="398"/>
    <d v="2017-02-25T00:00:00"/>
    <d v="2017-02-04T00:00:00"/>
    <s v="Speed Express"/>
    <n v="55.45"/>
    <x v="63"/>
    <x v="2"/>
  </r>
  <r>
    <n v="10443"/>
    <s v="REGGC"/>
    <x v="31"/>
    <d v="2017-03-12T00:00:00"/>
    <d v="2017-02-14T00:00:00"/>
    <s v="Speed Express"/>
    <n v="69.75"/>
    <x v="63"/>
    <x v="10"/>
  </r>
  <r>
    <n v="10562"/>
    <s v="REGGC"/>
    <x v="399"/>
    <d v="2017-07-07T00:00:00"/>
    <d v="2017-06-12T00:00:00"/>
    <s v="Speed Express"/>
    <n v="114.75"/>
    <x v="63"/>
    <x v="8"/>
  </r>
  <r>
    <n v="10586"/>
    <s v="REGGC"/>
    <x v="363"/>
    <d v="2017-07-30T00:00:00"/>
    <d v="2017-07-09T00:00:00"/>
    <s v="Speed Express"/>
    <n v="2.4"/>
    <x v="63"/>
    <x v="11"/>
  </r>
  <r>
    <n v="10655"/>
    <s v="REGGC"/>
    <x v="400"/>
    <d v="2017-10-01T00:00:00"/>
    <d v="2017-09-11T00:00:00"/>
    <s v="Natioanl Package"/>
    <n v="22.05"/>
    <x v="63"/>
    <x v="5"/>
  </r>
  <r>
    <n v="10727"/>
    <s v="REGGC"/>
    <x v="132"/>
    <d v="2017-12-01T00:00:00"/>
    <d v="2017-12-05T00:00:00"/>
    <s v="Speed Express"/>
    <n v="449.5"/>
    <x v="63"/>
    <x v="6"/>
  </r>
  <r>
    <n v="10812"/>
    <s v="REGGC"/>
    <x v="315"/>
    <d v="2018-01-30T00:00:00"/>
    <d v="2018-01-12T00:00:00"/>
    <s v="Speed Express"/>
    <n v="298.89999999999998"/>
    <x v="63"/>
    <x v="2"/>
  </r>
  <r>
    <n v="10908"/>
    <s v="REGGC"/>
    <x v="211"/>
    <d v="2018-03-26T00:00:00"/>
    <d v="2018-03-06T00:00:00"/>
    <s v="Natioanl Package"/>
    <n v="164.8"/>
    <x v="63"/>
    <x v="10"/>
  </r>
  <r>
    <n v="10942"/>
    <s v="REGGC"/>
    <x v="79"/>
    <d v="2018-04-08T00:00:00"/>
    <d v="2018-03-18T00:00:00"/>
    <s v="Inland Shipping"/>
    <n v="89.75"/>
    <x v="63"/>
    <x v="3"/>
  </r>
  <r>
    <n v="11010"/>
    <s v="REGGC"/>
    <x v="5"/>
    <d v="2018-05-07T00:00:00"/>
    <d v="2018-04-21T00:00:00"/>
    <s v="Natioanl Package"/>
    <n v="143.55000000000001"/>
    <x v="63"/>
    <x v="4"/>
  </r>
  <r>
    <n v="11062"/>
    <s v="REGGC"/>
    <x v="198"/>
    <d v="2018-05-28T00:00:00"/>
    <m/>
    <s v="Natioanl Package"/>
    <n v="149.65"/>
    <x v="63"/>
    <x v="4"/>
  </r>
  <r>
    <n v="10287"/>
    <s v="RICAR"/>
    <x v="401"/>
    <d v="2016-09-19T00:00:00"/>
    <d v="2016-08-28T00:00:00"/>
    <s v="Inland Shipping"/>
    <n v="63.8"/>
    <x v="64"/>
    <x v="0"/>
  </r>
  <r>
    <n v="10299"/>
    <s v="RICAR"/>
    <x v="402"/>
    <d v="2016-10-04T00:00:00"/>
    <d v="2016-09-13T00:00:00"/>
    <s v="Natioanl Package"/>
    <n v="148.80000000000001"/>
    <x v="64"/>
    <x v="5"/>
  </r>
  <r>
    <n v="10447"/>
    <s v="RICAR"/>
    <x v="403"/>
    <d v="2017-03-14T00:00:00"/>
    <d v="2017-03-07T00:00:00"/>
    <s v="Natioanl Package"/>
    <n v="343.29999999999995"/>
    <x v="64"/>
    <x v="10"/>
  </r>
  <r>
    <n v="10481"/>
    <s v="RICAR"/>
    <x v="167"/>
    <d v="2017-04-17T00:00:00"/>
    <d v="2017-03-25T00:00:00"/>
    <s v="Natioanl Package"/>
    <n v="321.64999999999998"/>
    <x v="64"/>
    <x v="3"/>
  </r>
  <r>
    <n v="10563"/>
    <s v="RICAR"/>
    <x v="393"/>
    <d v="2017-07-22T00:00:00"/>
    <d v="2017-06-24T00:00:00"/>
    <s v="Natioanl Package"/>
    <n v="302.14999999999998"/>
    <x v="64"/>
    <x v="8"/>
  </r>
  <r>
    <n v="10622"/>
    <s v="RICAR"/>
    <x v="404"/>
    <d v="2017-09-03T00:00:00"/>
    <d v="2017-08-11T00:00:00"/>
    <s v="Inland Shipping"/>
    <n v="254.85"/>
    <x v="64"/>
    <x v="0"/>
  </r>
  <r>
    <n v="10648"/>
    <s v="RICAR"/>
    <x v="324"/>
    <d v="2017-10-09T00:00:00"/>
    <d v="2017-09-09T00:00:00"/>
    <s v="Natioanl Package"/>
    <n v="71.25"/>
    <x v="64"/>
    <x v="0"/>
  </r>
  <r>
    <n v="10813"/>
    <s v="RICAR"/>
    <x v="405"/>
    <d v="2018-02-02T00:00:00"/>
    <d v="2018-01-09T00:00:00"/>
    <s v="Speed Express"/>
    <n v="236.9"/>
    <x v="64"/>
    <x v="2"/>
  </r>
  <r>
    <n v="10851"/>
    <s v="RICAR"/>
    <x v="396"/>
    <d v="2018-02-23T00:00:00"/>
    <d v="2018-02-02T00:00:00"/>
    <s v="Speed Express"/>
    <n v="802.75"/>
    <x v="64"/>
    <x v="2"/>
  </r>
  <r>
    <n v="10877"/>
    <s v="RICAR"/>
    <x v="77"/>
    <d v="2018-03-09T00:00:00"/>
    <d v="2018-02-19T00:00:00"/>
    <s v="Speed Express"/>
    <n v="190.3"/>
    <x v="64"/>
    <x v="10"/>
  </r>
  <r>
    <n v="11059"/>
    <s v="RICAR"/>
    <x v="50"/>
    <d v="2018-06-10T00:00:00"/>
    <m/>
    <s v="Natioanl Package"/>
    <n v="429"/>
    <x v="64"/>
    <x v="4"/>
  </r>
  <r>
    <n v="10255"/>
    <s v="RICSU"/>
    <x v="406"/>
    <d v="2016-08-09T00:00:00"/>
    <d v="2016-07-15T00:00:00"/>
    <s v="Inland Shipping"/>
    <n v="741.65000000000009"/>
    <x v="65"/>
    <x v="11"/>
  </r>
  <r>
    <n v="10419"/>
    <s v="RICSU"/>
    <x v="407"/>
    <d v="2017-02-17T00:00:00"/>
    <d v="2017-01-30T00:00:00"/>
    <s v="Natioanl Package"/>
    <n v="686.75"/>
    <x v="65"/>
    <x v="2"/>
  </r>
  <r>
    <n v="10537"/>
    <s v="RICSU"/>
    <x v="293"/>
    <d v="2017-05-28T00:00:00"/>
    <d v="2017-05-19T00:00:00"/>
    <s v="Speed Express"/>
    <n v="394.25"/>
    <x v="65"/>
    <x v="7"/>
  </r>
  <r>
    <n v="10666"/>
    <s v="RICSU"/>
    <x v="147"/>
    <d v="2017-10-10T00:00:00"/>
    <d v="2017-09-22T00:00:00"/>
    <s v="Natioanl Package"/>
    <n v="1162.0999999999999"/>
    <x v="65"/>
    <x v="5"/>
  </r>
  <r>
    <n v="10751"/>
    <s v="RICSU"/>
    <x v="339"/>
    <d v="2017-12-22T00:00:00"/>
    <d v="2017-12-03T00:00:00"/>
    <s v="Inland Shipping"/>
    <n v="653.94999999999993"/>
    <x v="65"/>
    <x v="6"/>
  </r>
  <r>
    <n v="10758"/>
    <s v="RICSU"/>
    <x v="8"/>
    <d v="2017-12-26T00:00:00"/>
    <d v="2017-12-04T00:00:00"/>
    <s v="Inland Shipping"/>
    <n v="690.84999999999991"/>
    <x v="65"/>
    <x v="6"/>
  </r>
  <r>
    <n v="10931"/>
    <s v="RICSU"/>
    <x v="78"/>
    <d v="2018-03-20T00:00:00"/>
    <d v="2018-03-19T00:00:00"/>
    <s v="Natioanl Package"/>
    <n v="68"/>
    <x v="65"/>
    <x v="3"/>
  </r>
  <r>
    <n v="10951"/>
    <s v="RICSU"/>
    <x v="4"/>
    <d v="2018-04-27T00:00:00"/>
    <d v="2018-04-07T00:00:00"/>
    <s v="Natioanl Package"/>
    <n v="154.25"/>
    <x v="65"/>
    <x v="3"/>
  </r>
  <r>
    <n v="11033"/>
    <s v="RICSU"/>
    <x v="408"/>
    <d v="2018-05-15T00:00:00"/>
    <d v="2018-04-23T00:00:00"/>
    <s v="Inland Shipping"/>
    <n v="423.7"/>
    <x v="65"/>
    <x v="4"/>
  </r>
  <r>
    <n v="11075"/>
    <s v="RICSU"/>
    <x v="80"/>
    <d v="2018-06-03T00:00:00"/>
    <m/>
    <s v="Natioanl Package"/>
    <n v="30.950000000000003"/>
    <x v="65"/>
    <x v="7"/>
  </r>
  <r>
    <n v="10281"/>
    <s v="ROMEY"/>
    <x v="30"/>
    <d v="2016-08-28T00:00:00"/>
    <d v="2016-08-21T00:00:00"/>
    <s v="Speed Express"/>
    <n v="14.7"/>
    <x v="66"/>
    <x v="0"/>
  </r>
  <r>
    <n v="10282"/>
    <s v="ROMEY"/>
    <x v="409"/>
    <d v="2016-09-12T00:00:00"/>
    <d v="2016-08-21T00:00:00"/>
    <s v="Speed Express"/>
    <n v="63.449999999999996"/>
    <x v="66"/>
    <x v="0"/>
  </r>
  <r>
    <n v="10306"/>
    <s v="ROMEY"/>
    <x v="410"/>
    <d v="2016-10-14T00:00:00"/>
    <d v="2016-09-23T00:00:00"/>
    <s v="Inland Shipping"/>
    <n v="37.799999999999997"/>
    <x v="66"/>
    <x v="5"/>
  </r>
  <r>
    <n v="10917"/>
    <s v="ROMEY"/>
    <x v="85"/>
    <d v="2018-03-30T00:00:00"/>
    <d v="2018-03-11T00:00:00"/>
    <s v="Natioanl Package"/>
    <n v="41.449999999999996"/>
    <x v="66"/>
    <x v="3"/>
  </r>
  <r>
    <n v="11013"/>
    <s v="ROMEY"/>
    <x v="5"/>
    <d v="2018-05-07T00:00:00"/>
    <d v="2018-04-10T00:00:00"/>
    <s v="Speed Express"/>
    <n v="164.95000000000002"/>
    <x v="66"/>
    <x v="4"/>
  </r>
  <r>
    <n v="10387"/>
    <s v="SANTG"/>
    <x v="160"/>
    <d v="2017-01-15T00:00:00"/>
    <d v="2016-12-20T00:00:00"/>
    <s v="Natioanl Package"/>
    <n v="468.15"/>
    <x v="67"/>
    <x v="9"/>
  </r>
  <r>
    <n v="10520"/>
    <s v="SANTG"/>
    <x v="100"/>
    <d v="2017-05-27T00:00:00"/>
    <d v="2017-05-01T00:00:00"/>
    <s v="Speed Express"/>
    <n v="66.849999999999994"/>
    <x v="67"/>
    <x v="4"/>
  </r>
  <r>
    <n v="10639"/>
    <s v="SANTG"/>
    <x v="312"/>
    <d v="2017-09-17T00:00:00"/>
    <d v="2017-08-27T00:00:00"/>
    <s v="Inland Shipping"/>
    <n v="193.2"/>
    <x v="67"/>
    <x v="0"/>
  </r>
  <r>
    <n v="10831"/>
    <s v="SANTG"/>
    <x v="283"/>
    <d v="2018-02-11T00:00:00"/>
    <d v="2018-01-23T00:00:00"/>
    <s v="Natioanl Package"/>
    <n v="360.95"/>
    <x v="67"/>
    <x v="2"/>
  </r>
  <r>
    <n v="10909"/>
    <s v="SANTG"/>
    <x v="211"/>
    <d v="2018-03-26T00:00:00"/>
    <d v="2018-03-10T00:00:00"/>
    <s v="Natioanl Package"/>
    <n v="265.25"/>
    <x v="67"/>
    <x v="10"/>
  </r>
  <r>
    <n v="11015"/>
    <s v="SANTG"/>
    <x v="28"/>
    <d v="2018-04-24T00:00:00"/>
    <d v="2018-04-20T00:00:00"/>
    <s v="Natioanl Package"/>
    <n v="23.1"/>
    <x v="67"/>
    <x v="4"/>
  </r>
  <r>
    <n v="10324"/>
    <s v="SAVEA"/>
    <x v="411"/>
    <d v="2016-11-05T00:00:00"/>
    <d v="2016-10-10T00:00:00"/>
    <s v="Speed Express"/>
    <n v="1071.3500000000001"/>
    <x v="68"/>
    <x v="1"/>
  </r>
  <r>
    <n v="10393"/>
    <s v="SAVEA"/>
    <x v="244"/>
    <d v="2017-01-22T00:00:00"/>
    <d v="2017-01-03T00:00:00"/>
    <s v="Inland Shipping"/>
    <n v="632.79999999999995"/>
    <x v="68"/>
    <x v="9"/>
  </r>
  <r>
    <n v="10398"/>
    <s v="SAVEA"/>
    <x v="412"/>
    <d v="2017-01-27T00:00:00"/>
    <d v="2017-01-09T00:00:00"/>
    <s v="Inland Shipping"/>
    <n v="445.79999999999995"/>
    <x v="68"/>
    <x v="9"/>
  </r>
  <r>
    <n v="10440"/>
    <s v="SAVEA"/>
    <x v="345"/>
    <d v="2017-03-10T00:00:00"/>
    <d v="2017-02-28T00:00:00"/>
    <s v="Natioanl Package"/>
    <n v="432.65"/>
    <x v="68"/>
    <x v="10"/>
  </r>
  <r>
    <n v="10452"/>
    <s v="SAVEA"/>
    <x v="413"/>
    <d v="2017-03-20T00:00:00"/>
    <d v="2017-02-26T00:00:00"/>
    <s v="Speed Express"/>
    <n v="701.3"/>
    <x v="68"/>
    <x v="10"/>
  </r>
  <r>
    <n v="10510"/>
    <s v="SAVEA"/>
    <x v="69"/>
    <d v="2017-05-16T00:00:00"/>
    <d v="2017-04-28T00:00:00"/>
    <s v="Inland Shipping"/>
    <n v="1838.15"/>
    <x v="68"/>
    <x v="4"/>
  </r>
  <r>
    <n v="10555"/>
    <s v="SAVEA"/>
    <x v="414"/>
    <d v="2017-06-30T00:00:00"/>
    <d v="2017-06-04T00:00:00"/>
    <s v="Inland Shipping"/>
    <n v="1262.45"/>
    <x v="68"/>
    <x v="8"/>
  </r>
  <r>
    <n v="10603"/>
    <s v="SAVEA"/>
    <x v="204"/>
    <d v="2017-08-15T00:00:00"/>
    <d v="2017-08-08T00:00:00"/>
    <s v="Natioanl Package"/>
    <n v="243.85000000000002"/>
    <x v="68"/>
    <x v="11"/>
  </r>
  <r>
    <n v="10607"/>
    <s v="SAVEA"/>
    <x v="415"/>
    <d v="2017-08-19T00:00:00"/>
    <d v="2017-07-25T00:00:00"/>
    <s v="Speed Express"/>
    <n v="1001.2"/>
    <x v="68"/>
    <x v="11"/>
  </r>
  <r>
    <n v="10612"/>
    <s v="SAVEA"/>
    <x v="416"/>
    <d v="2017-08-25T00:00:00"/>
    <d v="2017-08-01T00:00:00"/>
    <s v="Natioanl Package"/>
    <n v="2720.4"/>
    <x v="68"/>
    <x v="11"/>
  </r>
  <r>
    <n v="10627"/>
    <s v="SAVEA"/>
    <x v="35"/>
    <d v="2017-09-22T00:00:00"/>
    <d v="2017-08-21T00:00:00"/>
    <s v="Inland Shipping"/>
    <n v="537.29999999999995"/>
    <x v="68"/>
    <x v="0"/>
  </r>
  <r>
    <n v="10657"/>
    <s v="SAVEA"/>
    <x v="221"/>
    <d v="2017-10-02T00:00:00"/>
    <d v="2017-09-15T00:00:00"/>
    <s v="Natioanl Package"/>
    <n v="1763.45"/>
    <x v="68"/>
    <x v="5"/>
  </r>
  <r>
    <n v="10678"/>
    <s v="SAVEA"/>
    <x v="60"/>
    <d v="2017-10-21T00:00:00"/>
    <d v="2017-10-16T00:00:00"/>
    <s v="Inland Shipping"/>
    <n v="1944.9"/>
    <x v="68"/>
    <x v="5"/>
  </r>
  <r>
    <n v="10700"/>
    <s v="SAVEA"/>
    <x v="417"/>
    <d v="2017-11-07T00:00:00"/>
    <d v="2017-10-16T00:00:00"/>
    <s v="Speed Express"/>
    <n v="325.5"/>
    <x v="68"/>
    <x v="1"/>
  </r>
  <r>
    <n v="10711"/>
    <s v="SAVEA"/>
    <x v="258"/>
    <d v="2017-12-02T00:00:00"/>
    <d v="2017-10-29T00:00:00"/>
    <s v="Natioanl Package"/>
    <n v="262.04999999999995"/>
    <x v="68"/>
    <x v="1"/>
  </r>
  <r>
    <n v="10713"/>
    <s v="SAVEA"/>
    <x v="418"/>
    <d v="2017-11-19T00:00:00"/>
    <d v="2017-10-24T00:00:00"/>
    <s v="Speed Express"/>
    <n v="835.25"/>
    <x v="68"/>
    <x v="1"/>
  </r>
  <r>
    <n v="10714"/>
    <s v="SAVEA"/>
    <x v="418"/>
    <d v="2017-11-19T00:00:00"/>
    <d v="2017-10-27T00:00:00"/>
    <s v="Inland Shipping"/>
    <n v="122.44999999999999"/>
    <x v="68"/>
    <x v="1"/>
  </r>
  <r>
    <n v="10722"/>
    <s v="SAVEA"/>
    <x v="382"/>
    <d v="2017-12-10T00:00:00"/>
    <d v="2017-11-04T00:00:00"/>
    <s v="Speed Express"/>
    <n v="372.9"/>
    <x v="68"/>
    <x v="1"/>
  </r>
  <r>
    <n v="10748"/>
    <s v="SAVEA"/>
    <x v="268"/>
    <d v="2017-12-18T00:00:00"/>
    <d v="2017-11-28T00:00:00"/>
    <s v="Speed Express"/>
    <n v="1162.75"/>
    <x v="68"/>
    <x v="6"/>
  </r>
  <r>
    <n v="10757"/>
    <s v="SAVEA"/>
    <x v="419"/>
    <d v="2017-12-25T00:00:00"/>
    <d v="2017-12-15T00:00:00"/>
    <s v="Speed Express"/>
    <n v="40.949999999999996"/>
    <x v="68"/>
    <x v="6"/>
  </r>
  <r>
    <n v="10815"/>
    <s v="SAVEA"/>
    <x v="405"/>
    <d v="2018-02-02T00:00:00"/>
    <d v="2018-01-14T00:00:00"/>
    <s v="Inland Shipping"/>
    <n v="73.099999999999994"/>
    <x v="68"/>
    <x v="2"/>
  </r>
  <r>
    <n v="10847"/>
    <s v="SAVEA"/>
    <x v="420"/>
    <d v="2018-02-05T00:00:00"/>
    <d v="2018-02-10T00:00:00"/>
    <s v="Inland Shipping"/>
    <n v="2437.85"/>
    <x v="68"/>
    <x v="2"/>
  </r>
  <r>
    <n v="10882"/>
    <s v="SAVEA"/>
    <x v="103"/>
    <d v="2018-03-11T00:00:00"/>
    <d v="2018-02-20T00:00:00"/>
    <s v="Inland Shipping"/>
    <n v="115.5"/>
    <x v="68"/>
    <x v="10"/>
  </r>
  <r>
    <n v="10894"/>
    <s v="SAVEA"/>
    <x v="153"/>
    <d v="2018-03-18T00:00:00"/>
    <d v="2018-02-20T00:00:00"/>
    <s v="Speed Express"/>
    <n v="580.65"/>
    <x v="68"/>
    <x v="10"/>
  </r>
  <r>
    <n v="10941"/>
    <s v="SAVEA"/>
    <x v="79"/>
    <d v="2018-04-08T00:00:00"/>
    <d v="2018-03-20T00:00:00"/>
    <s v="Natioanl Package"/>
    <n v="2004.05"/>
    <x v="68"/>
    <x v="3"/>
  </r>
  <r>
    <n v="10983"/>
    <s v="SAVEA"/>
    <x v="89"/>
    <d v="2018-04-24T00:00:00"/>
    <d v="2018-04-06T00:00:00"/>
    <s v="Natioanl Package"/>
    <n v="3287.7"/>
    <x v="68"/>
    <x v="3"/>
  </r>
  <r>
    <n v="10984"/>
    <s v="SAVEA"/>
    <x v="261"/>
    <d v="2018-04-27T00:00:00"/>
    <d v="2018-04-03T00:00:00"/>
    <s v="Inland Shipping"/>
    <n v="1056.0999999999999"/>
    <x v="68"/>
    <x v="3"/>
  </r>
  <r>
    <n v="11002"/>
    <s v="SAVEA"/>
    <x v="180"/>
    <d v="2018-05-04T00:00:00"/>
    <d v="2018-04-16T00:00:00"/>
    <s v="Speed Express"/>
    <n v="705.8"/>
    <x v="68"/>
    <x v="4"/>
  </r>
  <r>
    <n v="11030"/>
    <s v="SAVEA"/>
    <x v="408"/>
    <d v="2018-05-15T00:00:00"/>
    <d v="2018-04-27T00:00:00"/>
    <s v="Natioanl Package"/>
    <n v="4153.75"/>
    <x v="68"/>
    <x v="4"/>
  </r>
  <r>
    <n v="11031"/>
    <s v="SAVEA"/>
    <x v="408"/>
    <d v="2018-05-15T00:00:00"/>
    <d v="2018-04-24T00:00:00"/>
    <s v="Natioanl Package"/>
    <n v="1136.0999999999999"/>
    <x v="68"/>
    <x v="4"/>
  </r>
  <r>
    <n v="11064"/>
    <s v="SAVEA"/>
    <x v="309"/>
    <d v="2018-05-29T00:00:00"/>
    <d v="2018-05-04T00:00:00"/>
    <s v="Speed Express"/>
    <n v="150.44999999999999"/>
    <x v="68"/>
    <x v="7"/>
  </r>
  <r>
    <n v="10359"/>
    <s v="SEVES"/>
    <x v="421"/>
    <d v="2016-12-19T00:00:00"/>
    <d v="2016-11-26T00:00:00"/>
    <s v="Inland Shipping"/>
    <n v="1442.15"/>
    <x v="69"/>
    <x v="6"/>
  </r>
  <r>
    <n v="10377"/>
    <s v="SEVES"/>
    <x v="328"/>
    <d v="2017-01-06T00:00:00"/>
    <d v="2016-12-13T00:00:00"/>
    <s v="Inland Shipping"/>
    <n v="111.05000000000001"/>
    <x v="69"/>
    <x v="9"/>
  </r>
  <r>
    <n v="10388"/>
    <s v="SEVES"/>
    <x v="422"/>
    <d v="2017-01-16T00:00:00"/>
    <d v="2016-12-20T00:00:00"/>
    <s v="Speed Express"/>
    <n v="174.3"/>
    <x v="69"/>
    <x v="9"/>
  </r>
  <r>
    <n v="10472"/>
    <s v="SEVES"/>
    <x v="423"/>
    <d v="2017-04-09T00:00:00"/>
    <d v="2017-03-19T00:00:00"/>
    <s v="Speed Express"/>
    <n v="21"/>
    <x v="69"/>
    <x v="3"/>
  </r>
  <r>
    <n v="10523"/>
    <s v="SEVES"/>
    <x v="33"/>
    <d v="2017-05-29T00:00:00"/>
    <d v="2017-05-30T00:00:00"/>
    <s v="Natioanl Package"/>
    <n v="388.15"/>
    <x v="69"/>
    <x v="7"/>
  </r>
  <r>
    <n v="10547"/>
    <s v="SEVES"/>
    <x v="424"/>
    <d v="2017-06-20T00:00:00"/>
    <d v="2017-06-02T00:00:00"/>
    <s v="Natioanl Package"/>
    <n v="892.15000000000009"/>
    <x v="69"/>
    <x v="7"/>
  </r>
  <r>
    <n v="10800"/>
    <s v="SEVES"/>
    <x v="269"/>
    <d v="2018-01-23T00:00:00"/>
    <d v="2018-01-05T00:00:00"/>
    <s v="Inland Shipping"/>
    <n v="687.2"/>
    <x v="69"/>
    <x v="9"/>
  </r>
  <r>
    <n v="10804"/>
    <s v="SEVES"/>
    <x v="425"/>
    <d v="2018-01-27T00:00:00"/>
    <d v="2018-01-07T00:00:00"/>
    <s v="Natioanl Package"/>
    <n v="136.64999999999998"/>
    <x v="69"/>
    <x v="9"/>
  </r>
  <r>
    <n v="10869"/>
    <s v="SEVES"/>
    <x v="368"/>
    <d v="2018-03-04T00:00:00"/>
    <d v="2018-02-09T00:00:00"/>
    <s v="Speed Express"/>
    <n v="716.4"/>
    <x v="69"/>
    <x v="10"/>
  </r>
  <r>
    <n v="10341"/>
    <s v="SIMOB"/>
    <x v="66"/>
    <d v="2016-11-26T00:00:00"/>
    <d v="2016-11-05T00:00:00"/>
    <s v="Inland Shipping"/>
    <n v="133.9"/>
    <x v="70"/>
    <x v="1"/>
  </r>
  <r>
    <n v="10417"/>
    <s v="SIMOB"/>
    <x v="426"/>
    <d v="2017-02-13T00:00:00"/>
    <d v="2017-01-28T00:00:00"/>
    <s v="Inland Shipping"/>
    <n v="351.45000000000005"/>
    <x v="70"/>
    <x v="2"/>
  </r>
  <r>
    <n v="10556"/>
    <s v="SIMOB"/>
    <x v="294"/>
    <d v="2017-07-15T00:00:00"/>
    <d v="2017-06-13T00:00:00"/>
    <s v="Speed Express"/>
    <n v="49"/>
    <x v="70"/>
    <x v="8"/>
  </r>
  <r>
    <n v="10642"/>
    <s v="SIMOB"/>
    <x v="241"/>
    <d v="2017-09-19T00:00:00"/>
    <d v="2017-09-05T00:00:00"/>
    <s v="Inland Shipping"/>
    <n v="209.45"/>
    <x v="70"/>
    <x v="0"/>
  </r>
  <r>
    <n v="10669"/>
    <s v="SIMOB"/>
    <x v="427"/>
    <d v="2017-10-13T00:00:00"/>
    <d v="2017-09-22T00:00:00"/>
    <s v="Speed Express"/>
    <n v="121.95"/>
    <x v="70"/>
    <x v="5"/>
  </r>
  <r>
    <n v="10802"/>
    <s v="SIMOB"/>
    <x v="63"/>
    <d v="2018-01-26T00:00:00"/>
    <d v="2018-01-02T00:00:00"/>
    <s v="Natioanl Package"/>
    <n v="1286.3"/>
    <x v="70"/>
    <x v="9"/>
  </r>
  <r>
    <n v="11074"/>
    <s v="SIMOB"/>
    <x v="80"/>
    <d v="2018-06-03T00:00:00"/>
    <m/>
    <s v="Natioanl Package"/>
    <n v="92.2"/>
    <x v="70"/>
    <x v="7"/>
  </r>
  <r>
    <n v="10738"/>
    <s v="SPECD"/>
    <x v="428"/>
    <d v="2017-12-10T00:00:00"/>
    <d v="2017-11-18T00:00:00"/>
    <s v="Speed Express"/>
    <n v="14.55"/>
    <x v="71"/>
    <x v="6"/>
  </r>
  <r>
    <n v="10907"/>
    <s v="SPECD"/>
    <x v="429"/>
    <d v="2018-03-25T00:00:00"/>
    <d v="2018-02-27T00:00:00"/>
    <s v="Inland Shipping"/>
    <n v="45.949999999999996"/>
    <x v="71"/>
    <x v="10"/>
  </r>
  <r>
    <n v="10964"/>
    <s v="SPECD"/>
    <x v="111"/>
    <d v="2018-04-17T00:00:00"/>
    <d v="2018-03-24T00:00:00"/>
    <s v="Natioanl Package"/>
    <n v="436.9"/>
    <x v="71"/>
    <x v="3"/>
  </r>
  <r>
    <n v="11043"/>
    <s v="SPECD"/>
    <x v="112"/>
    <d v="2018-05-20T00:00:00"/>
    <d v="2018-04-29T00:00:00"/>
    <s v="Natioanl Package"/>
    <n v="44"/>
    <x v="71"/>
    <x v="4"/>
  </r>
  <r>
    <n v="10271"/>
    <s v="SPLIR"/>
    <x v="430"/>
    <d v="2016-08-29T00:00:00"/>
    <d v="2016-08-30T00:00:00"/>
    <s v="Natioanl Package"/>
    <n v="22.7"/>
    <x v="72"/>
    <x v="0"/>
  </r>
  <r>
    <n v="10329"/>
    <s v="SPLIR"/>
    <x v="431"/>
    <d v="2016-11-26T00:00:00"/>
    <d v="2016-10-23T00:00:00"/>
    <s v="Natioanl Package"/>
    <n v="958.34999999999991"/>
    <x v="72"/>
    <x v="1"/>
  </r>
  <r>
    <n v="10349"/>
    <s v="SPLIR"/>
    <x v="432"/>
    <d v="2016-12-06T00:00:00"/>
    <d v="2016-11-15T00:00:00"/>
    <s v="Speed Express"/>
    <n v="43.150000000000006"/>
    <x v="72"/>
    <x v="6"/>
  </r>
  <r>
    <n v="10369"/>
    <s v="SPLIR"/>
    <x v="433"/>
    <d v="2016-12-30T00:00:00"/>
    <d v="2016-12-09T00:00:00"/>
    <s v="Natioanl Package"/>
    <n v="978.40000000000009"/>
    <x v="72"/>
    <x v="9"/>
  </r>
  <r>
    <n v="10385"/>
    <s v="SPLIR"/>
    <x v="434"/>
    <d v="2017-01-14T00:00:00"/>
    <d v="2016-12-23T00:00:00"/>
    <s v="Natioanl Package"/>
    <n v="154.80000000000001"/>
    <x v="72"/>
    <x v="9"/>
  </r>
  <r>
    <n v="10432"/>
    <s v="SPLIR"/>
    <x v="435"/>
    <d v="2017-02-14T00:00:00"/>
    <d v="2017-02-07T00:00:00"/>
    <s v="Natioanl Package"/>
    <n v="21.7"/>
    <x v="72"/>
    <x v="2"/>
  </r>
  <r>
    <n v="10756"/>
    <s v="SPLIR"/>
    <x v="419"/>
    <d v="2017-12-25T00:00:00"/>
    <d v="2017-12-02T00:00:00"/>
    <s v="Natioanl Package"/>
    <n v="366.04999999999995"/>
    <x v="72"/>
    <x v="6"/>
  </r>
  <r>
    <n v="10821"/>
    <s v="SPLIR"/>
    <x v="436"/>
    <d v="2018-02-05T00:00:00"/>
    <d v="2018-01-15T00:00:00"/>
    <s v="Speed Express"/>
    <n v="183.4"/>
    <x v="72"/>
    <x v="2"/>
  </r>
  <r>
    <n v="10974"/>
    <s v="SPLIR"/>
    <x v="88"/>
    <d v="2018-04-08T00:00:00"/>
    <d v="2018-04-03T00:00:00"/>
    <s v="Inland Shipping"/>
    <n v="64.800000000000011"/>
    <x v="72"/>
    <x v="3"/>
  </r>
  <r>
    <n v="10252"/>
    <s v="SUPRD"/>
    <x v="437"/>
    <d v="2016-08-06T00:00:00"/>
    <d v="2016-07-11T00:00:00"/>
    <s v="Natioanl Package"/>
    <n v="256.5"/>
    <x v="73"/>
    <x v="11"/>
  </r>
  <r>
    <n v="10302"/>
    <s v="SUPRD"/>
    <x v="438"/>
    <d v="2016-10-08T00:00:00"/>
    <d v="2016-10-09T00:00:00"/>
    <s v="Natioanl Package"/>
    <n v="31.349999999999998"/>
    <x v="73"/>
    <x v="5"/>
  </r>
  <r>
    <n v="10458"/>
    <s v="SUPRD"/>
    <x v="439"/>
    <d v="2017-03-26T00:00:00"/>
    <d v="2017-03-04T00:00:00"/>
    <s v="Inland Shipping"/>
    <n v="735.3"/>
    <x v="73"/>
    <x v="10"/>
  </r>
  <r>
    <n v="10463"/>
    <s v="SUPRD"/>
    <x v="201"/>
    <d v="2017-04-01T00:00:00"/>
    <d v="2017-03-06T00:00:00"/>
    <s v="Inland Shipping"/>
    <n v="73.899999999999991"/>
    <x v="73"/>
    <x v="3"/>
  </r>
  <r>
    <n v="10475"/>
    <s v="SUPRD"/>
    <x v="440"/>
    <d v="2017-04-11T00:00:00"/>
    <d v="2017-04-04T00:00:00"/>
    <s v="Speed Express"/>
    <n v="342.59999999999997"/>
    <x v="73"/>
    <x v="3"/>
  </r>
  <r>
    <n v="10767"/>
    <s v="SUPRD"/>
    <x v="350"/>
    <d v="2018-01-02T00:00:00"/>
    <d v="2017-12-15T00:00:00"/>
    <s v="Inland Shipping"/>
    <n v="7.95"/>
    <x v="73"/>
    <x v="9"/>
  </r>
  <r>
    <n v="10841"/>
    <s v="SUPRD"/>
    <x v="441"/>
    <d v="2018-02-17T00:00:00"/>
    <d v="2018-01-29T00:00:00"/>
    <s v="Natioanl Package"/>
    <n v="2121.5"/>
    <x v="73"/>
    <x v="2"/>
  </r>
  <r>
    <n v="10846"/>
    <s v="SUPRD"/>
    <x v="420"/>
    <d v="2018-03-05T00:00:00"/>
    <d v="2018-01-23T00:00:00"/>
    <s v="Inland Shipping"/>
    <n v="282.3"/>
    <x v="73"/>
    <x v="2"/>
  </r>
  <r>
    <n v="10885"/>
    <s v="SUPRD"/>
    <x v="301"/>
    <d v="2018-03-12T00:00:00"/>
    <d v="2018-02-18T00:00:00"/>
    <s v="Inland Shipping"/>
    <n v="28.2"/>
    <x v="73"/>
    <x v="10"/>
  </r>
  <r>
    <n v="10930"/>
    <s v="SUPRD"/>
    <x v="78"/>
    <d v="2018-04-17T00:00:00"/>
    <d v="2018-03-18T00:00:00"/>
    <s v="Inland Shipping"/>
    <n v="77.75"/>
    <x v="73"/>
    <x v="3"/>
  </r>
  <r>
    <n v="11035"/>
    <s v="SUPRD"/>
    <x v="124"/>
    <d v="2018-05-18T00:00:00"/>
    <d v="2018-04-24T00:00:00"/>
    <s v="Natioanl Package"/>
    <n v="0.85000000000000009"/>
    <x v="73"/>
    <x v="4"/>
  </r>
  <r>
    <n v="11038"/>
    <s v="SUPRD"/>
    <x v="212"/>
    <d v="2018-05-19T00:00:00"/>
    <d v="2018-04-30T00:00:00"/>
    <s v="Natioanl Package"/>
    <n v="147.94999999999999"/>
    <x v="73"/>
    <x v="4"/>
  </r>
  <r>
    <n v="10310"/>
    <s v="THEBI"/>
    <x v="126"/>
    <d v="2016-10-18T00:00:00"/>
    <d v="2016-09-27T00:00:00"/>
    <s v="Natioanl Package"/>
    <n v="87.6"/>
    <x v="74"/>
    <x v="5"/>
  </r>
  <r>
    <n v="10708"/>
    <s v="THEBI"/>
    <x v="216"/>
    <d v="2017-11-28T00:00:00"/>
    <d v="2017-11-05T00:00:00"/>
    <s v="Natioanl Package"/>
    <n v="14.8"/>
    <x v="74"/>
    <x v="1"/>
  </r>
  <r>
    <n v="10805"/>
    <s v="THEBI"/>
    <x v="425"/>
    <d v="2018-01-27T00:00:00"/>
    <d v="2018-01-09T00:00:00"/>
    <s v="Inland Shipping"/>
    <n v="1186.7"/>
    <x v="74"/>
    <x v="9"/>
  </r>
  <r>
    <n v="10992"/>
    <s v="THEBI"/>
    <x v="155"/>
    <d v="2018-04-29T00:00:00"/>
    <d v="2018-04-03T00:00:00"/>
    <s v="Inland Shipping"/>
    <n v="21.349999999999998"/>
    <x v="74"/>
    <x v="4"/>
  </r>
  <r>
    <n v="10624"/>
    <s v="THECR"/>
    <x v="187"/>
    <d v="2017-09-04T00:00:00"/>
    <d v="2017-08-19T00:00:00"/>
    <s v="Natioanl Package"/>
    <n v="474"/>
    <x v="75"/>
    <x v="0"/>
  </r>
  <r>
    <n v="10775"/>
    <s v="THECR"/>
    <x v="442"/>
    <d v="2018-01-09T00:00:00"/>
    <d v="2017-12-26T00:00:00"/>
    <s v="Speed Express"/>
    <n v="101.25"/>
    <x v="75"/>
    <x v="9"/>
  </r>
  <r>
    <n v="11003"/>
    <s v="THECR"/>
    <x v="180"/>
    <d v="2018-05-04T00:00:00"/>
    <d v="2018-04-08T00:00:00"/>
    <s v="Inland Shipping"/>
    <n v="74.55"/>
    <x v="75"/>
    <x v="4"/>
  </r>
  <r>
    <n v="10438"/>
    <s v="TOMSP"/>
    <x v="443"/>
    <d v="2017-03-06T00:00:00"/>
    <d v="2017-02-14T00:00:00"/>
    <s v="Natioanl Package"/>
    <n v="41.2"/>
    <x v="76"/>
    <x v="10"/>
  </r>
  <r>
    <n v="10446"/>
    <s v="TOMSP"/>
    <x v="403"/>
    <d v="2017-03-14T00:00:00"/>
    <d v="2017-02-19T00:00:00"/>
    <s v="Speed Express"/>
    <n v="73.400000000000006"/>
    <x v="76"/>
    <x v="10"/>
  </r>
  <r>
    <n v="10548"/>
    <s v="TOMSP"/>
    <x v="444"/>
    <d v="2017-06-23T00:00:00"/>
    <d v="2017-06-02T00:00:00"/>
    <s v="Natioanl Package"/>
    <n v="7.1499999999999995"/>
    <x v="76"/>
    <x v="7"/>
  </r>
  <r>
    <n v="10608"/>
    <s v="TOMSP"/>
    <x v="445"/>
    <d v="2017-08-20T00:00:00"/>
    <d v="2017-08-01T00:00:00"/>
    <s v="Natioanl Package"/>
    <n v="138.94999999999999"/>
    <x v="76"/>
    <x v="11"/>
  </r>
  <r>
    <n v="10967"/>
    <s v="TOMSP"/>
    <x v="116"/>
    <d v="2018-04-20T00:00:00"/>
    <d v="2018-04-02T00:00:00"/>
    <s v="Natioanl Package"/>
    <n v="311.10000000000002"/>
    <x v="76"/>
    <x v="3"/>
  </r>
  <r>
    <n v="10276"/>
    <s v="TORTU"/>
    <x v="446"/>
    <d v="2016-08-22T00:00:00"/>
    <d v="2016-08-14T00:00:00"/>
    <s v="Inland Shipping"/>
    <n v="69.2"/>
    <x v="77"/>
    <x v="0"/>
  </r>
  <r>
    <n v="10293"/>
    <s v="TORTU"/>
    <x v="447"/>
    <d v="2016-09-26T00:00:00"/>
    <d v="2016-09-11T00:00:00"/>
    <s v="Inland Shipping"/>
    <n v="105.9"/>
    <x v="77"/>
    <x v="0"/>
  </r>
  <r>
    <n v="10304"/>
    <s v="TORTU"/>
    <x v="448"/>
    <d v="2016-10-10T00:00:00"/>
    <d v="2016-09-17T00:00:00"/>
    <s v="Natioanl Package"/>
    <n v="318.95"/>
    <x v="77"/>
    <x v="5"/>
  </r>
  <r>
    <n v="10319"/>
    <s v="TORTU"/>
    <x v="449"/>
    <d v="2016-10-30T00:00:00"/>
    <d v="2016-10-11T00:00:00"/>
    <s v="Inland Shipping"/>
    <n v="322.5"/>
    <x v="77"/>
    <x v="1"/>
  </r>
  <r>
    <n v="10518"/>
    <s v="TORTU"/>
    <x v="450"/>
    <d v="2017-05-09T00:00:00"/>
    <d v="2017-05-05T00:00:00"/>
    <s v="Natioanl Package"/>
    <n v="1090.75"/>
    <x v="77"/>
    <x v="4"/>
  </r>
  <r>
    <n v="10576"/>
    <s v="TORTU"/>
    <x v="451"/>
    <d v="2017-07-07T00:00:00"/>
    <d v="2017-06-30T00:00:00"/>
    <s v="Inland Shipping"/>
    <n v="92.8"/>
    <x v="77"/>
    <x v="8"/>
  </r>
  <r>
    <n v="10676"/>
    <s v="TORTU"/>
    <x v="14"/>
    <d v="2017-10-20T00:00:00"/>
    <d v="2017-09-29T00:00:00"/>
    <s v="Natioanl Package"/>
    <n v="10.049999999999999"/>
    <x v="77"/>
    <x v="5"/>
  </r>
  <r>
    <n v="10842"/>
    <s v="TORTU"/>
    <x v="441"/>
    <d v="2018-02-17T00:00:00"/>
    <d v="2018-01-29T00:00:00"/>
    <s v="Inland Shipping"/>
    <n v="272.10000000000002"/>
    <x v="77"/>
    <x v="2"/>
  </r>
  <r>
    <n v="10915"/>
    <s v="TORTU"/>
    <x v="369"/>
    <d v="2018-03-27T00:00:00"/>
    <d v="2018-03-02T00:00:00"/>
    <s v="Natioanl Package"/>
    <n v="17.549999999999997"/>
    <x v="77"/>
    <x v="10"/>
  </r>
  <r>
    <n v="11069"/>
    <s v="TORTU"/>
    <x v="125"/>
    <d v="2018-06-01T00:00:00"/>
    <d v="2018-05-06T00:00:00"/>
    <s v="Natioanl Package"/>
    <n v="78.349999999999994"/>
    <x v="77"/>
    <x v="7"/>
  </r>
  <r>
    <n v="10249"/>
    <s v="TRADH"/>
    <x v="452"/>
    <d v="2016-08-16T00:00:00"/>
    <d v="2016-07-10T00:00:00"/>
    <s v="Speed Express"/>
    <n v="58.05"/>
    <x v="78"/>
    <x v="11"/>
  </r>
  <r>
    <n v="10292"/>
    <s v="TRADH"/>
    <x v="453"/>
    <d v="2016-09-25T00:00:00"/>
    <d v="2016-09-02T00:00:00"/>
    <s v="Natioanl Package"/>
    <n v="6.75"/>
    <x v="78"/>
    <x v="0"/>
  </r>
  <r>
    <n v="10496"/>
    <s v="TRADH"/>
    <x v="291"/>
    <d v="2017-05-02T00:00:00"/>
    <d v="2017-04-07T00:00:00"/>
    <s v="Natioanl Package"/>
    <n v="233.85000000000002"/>
    <x v="78"/>
    <x v="4"/>
  </r>
  <r>
    <n v="10606"/>
    <s v="TRADH"/>
    <x v="415"/>
    <d v="2017-08-19T00:00:00"/>
    <d v="2017-07-31T00:00:00"/>
    <s v="Inland Shipping"/>
    <n v="397"/>
    <x v="78"/>
    <x v="11"/>
  </r>
  <r>
    <n v="10830"/>
    <s v="TRADH"/>
    <x v="270"/>
    <d v="2018-02-24T00:00:00"/>
    <d v="2018-01-21T00:00:00"/>
    <s v="Natioanl Package"/>
    <n v="409.15"/>
    <x v="78"/>
    <x v="2"/>
  </r>
  <r>
    <n v="10834"/>
    <s v="TRADH"/>
    <x v="3"/>
    <d v="2018-02-12T00:00:00"/>
    <d v="2018-01-19T00:00:00"/>
    <s v="Inland Shipping"/>
    <n v="148.9"/>
    <x v="78"/>
    <x v="2"/>
  </r>
  <r>
    <n v="10839"/>
    <s v="TRADH"/>
    <x v="316"/>
    <d v="2018-02-16T00:00:00"/>
    <d v="2018-01-22T00:00:00"/>
    <s v="Inland Shipping"/>
    <n v="177.15"/>
    <x v="78"/>
    <x v="2"/>
  </r>
  <r>
    <n v="10574"/>
    <s v="TRAIH"/>
    <x v="13"/>
    <d v="2017-07-17T00:00:00"/>
    <d v="2017-06-30T00:00:00"/>
    <s v="Natioanl Package"/>
    <n v="188"/>
    <x v="79"/>
    <x v="8"/>
  </r>
  <r>
    <n v="10577"/>
    <s v="TRAIH"/>
    <x v="451"/>
    <d v="2017-08-04T00:00:00"/>
    <d v="2017-06-30T00:00:00"/>
    <s v="Natioanl Package"/>
    <n v="127.05"/>
    <x v="79"/>
    <x v="8"/>
  </r>
  <r>
    <n v="10822"/>
    <s v="TRAIH"/>
    <x v="436"/>
    <d v="2018-02-05T00:00:00"/>
    <d v="2018-01-16T00:00:00"/>
    <s v="Inland Shipping"/>
    <n v="35"/>
    <x v="79"/>
    <x v="2"/>
  </r>
  <r>
    <n v="10367"/>
    <s v="VAFFE"/>
    <x v="206"/>
    <d v="2016-12-26T00:00:00"/>
    <d v="2016-12-02T00:00:00"/>
    <s v="Inland Shipping"/>
    <n v="67.75"/>
    <x v="80"/>
    <x v="6"/>
  </r>
  <r>
    <n v="10399"/>
    <s v="VAFFE"/>
    <x v="454"/>
    <d v="2017-01-14T00:00:00"/>
    <d v="2017-01-08T00:00:00"/>
    <s v="Inland Shipping"/>
    <n v="136.80000000000001"/>
    <x v="80"/>
    <x v="9"/>
  </r>
  <r>
    <n v="10465"/>
    <s v="VAFFE"/>
    <x v="455"/>
    <d v="2017-04-02T00:00:00"/>
    <d v="2017-03-14T00:00:00"/>
    <s v="Inland Shipping"/>
    <n v="725.19999999999993"/>
    <x v="80"/>
    <x v="3"/>
  </r>
  <r>
    <n v="10591"/>
    <s v="VAFFE"/>
    <x v="332"/>
    <d v="2017-07-21T00:00:00"/>
    <d v="2017-07-16T00:00:00"/>
    <s v="Speed Express"/>
    <n v="279.60000000000002"/>
    <x v="80"/>
    <x v="11"/>
  </r>
  <r>
    <n v="10602"/>
    <s v="VAFFE"/>
    <x v="456"/>
    <d v="2017-08-14T00:00:00"/>
    <d v="2017-07-22T00:00:00"/>
    <s v="Natioanl Package"/>
    <n v="14.6"/>
    <x v="80"/>
    <x v="11"/>
  </r>
  <r>
    <n v="10688"/>
    <s v="VAFFE"/>
    <x v="38"/>
    <d v="2017-10-15T00:00:00"/>
    <d v="2017-10-07T00:00:00"/>
    <s v="Natioanl Package"/>
    <n v="1495.4499999999998"/>
    <x v="80"/>
    <x v="1"/>
  </r>
  <r>
    <n v="10744"/>
    <s v="VAFFE"/>
    <x v="23"/>
    <d v="2017-12-15T00:00:00"/>
    <d v="2017-11-24T00:00:00"/>
    <s v="Speed Express"/>
    <n v="345.95"/>
    <x v="80"/>
    <x v="6"/>
  </r>
  <r>
    <n v="10769"/>
    <s v="VAFFE"/>
    <x v="24"/>
    <d v="2018-01-05T00:00:00"/>
    <d v="2017-12-12T00:00:00"/>
    <s v="Speed Express"/>
    <n v="325.3"/>
    <x v="80"/>
    <x v="9"/>
  </r>
  <r>
    <n v="10921"/>
    <s v="VAFFE"/>
    <x v="27"/>
    <d v="2018-04-14T00:00:00"/>
    <d v="2018-03-09T00:00:00"/>
    <s v="Speed Express"/>
    <n v="882.4"/>
    <x v="80"/>
    <x v="3"/>
  </r>
  <r>
    <n v="10946"/>
    <s v="VAFFE"/>
    <x v="86"/>
    <d v="2018-04-09T00:00:00"/>
    <d v="2018-03-19T00:00:00"/>
    <s v="Natioanl Package"/>
    <n v="136"/>
    <x v="80"/>
    <x v="3"/>
  </r>
  <r>
    <n v="10994"/>
    <s v="VAFFE"/>
    <x v="354"/>
    <d v="2018-04-16T00:00:00"/>
    <d v="2018-04-09T00:00:00"/>
    <s v="Inland Shipping"/>
    <n v="327.64999999999998"/>
    <x v="80"/>
    <x v="4"/>
  </r>
  <r>
    <n v="10251"/>
    <s v="VICTE"/>
    <x v="227"/>
    <d v="2016-08-05T00:00:00"/>
    <d v="2016-07-15T00:00:00"/>
    <s v="Speed Express"/>
    <n v="206.70000000000002"/>
    <x v="81"/>
    <x v="11"/>
  </r>
  <r>
    <n v="10334"/>
    <s v="VICTE"/>
    <x v="457"/>
    <d v="2016-11-18T00:00:00"/>
    <d v="2016-10-28T00:00:00"/>
    <s v="Natioanl Package"/>
    <n v="42.800000000000004"/>
    <x v="81"/>
    <x v="1"/>
  </r>
  <r>
    <n v="10450"/>
    <s v="VICTE"/>
    <x v="376"/>
    <d v="2017-03-19T00:00:00"/>
    <d v="2017-03-11T00:00:00"/>
    <s v="Natioanl Package"/>
    <n v="36.150000000000006"/>
    <x v="81"/>
    <x v="10"/>
  </r>
  <r>
    <n v="10459"/>
    <s v="VICTE"/>
    <x v="458"/>
    <d v="2017-03-27T00:00:00"/>
    <d v="2017-02-28T00:00:00"/>
    <s v="Natioanl Package"/>
    <n v="125.45"/>
    <x v="81"/>
    <x v="10"/>
  </r>
  <r>
    <n v="10478"/>
    <s v="VICTE"/>
    <x v="459"/>
    <d v="2017-04-01T00:00:00"/>
    <d v="2017-03-26T00:00:00"/>
    <s v="Inland Shipping"/>
    <n v="24.049999999999997"/>
    <x v="81"/>
    <x v="3"/>
  </r>
  <r>
    <n v="10546"/>
    <s v="VICTE"/>
    <x v="424"/>
    <d v="2017-06-20T00:00:00"/>
    <d v="2017-05-27T00:00:00"/>
    <s v="Inland Shipping"/>
    <n v="973.6"/>
    <x v="81"/>
    <x v="7"/>
  </r>
  <r>
    <n v="10806"/>
    <s v="VICTE"/>
    <x v="197"/>
    <d v="2018-01-28T00:00:00"/>
    <d v="2018-01-05T00:00:00"/>
    <s v="Natioanl Package"/>
    <n v="110.55"/>
    <x v="81"/>
    <x v="9"/>
  </r>
  <r>
    <n v="10814"/>
    <s v="VICTE"/>
    <x v="405"/>
    <d v="2018-02-02T00:00:00"/>
    <d v="2018-01-14T00:00:00"/>
    <s v="Inland Shipping"/>
    <n v="654.70000000000005"/>
    <x v="81"/>
    <x v="2"/>
  </r>
  <r>
    <n v="10843"/>
    <s v="VICTE"/>
    <x v="359"/>
    <d v="2018-02-18T00:00:00"/>
    <d v="2018-01-26T00:00:00"/>
    <s v="Natioanl Package"/>
    <n v="46.3"/>
    <x v="81"/>
    <x v="2"/>
  </r>
  <r>
    <n v="10850"/>
    <s v="VICTE"/>
    <x v="119"/>
    <d v="2018-03-06T00:00:00"/>
    <d v="2018-01-30T00:00:00"/>
    <s v="Speed Express"/>
    <n v="245.95"/>
    <x v="81"/>
    <x v="2"/>
  </r>
  <r>
    <n v="10274"/>
    <s v="VINET"/>
    <x v="460"/>
    <d v="2016-09-03T00:00:00"/>
    <d v="2016-08-16T00:00:00"/>
    <s v="Speed Express"/>
    <n v="30.049999999999997"/>
    <x v="82"/>
    <x v="0"/>
  </r>
  <r>
    <n v="10295"/>
    <s v="VINET"/>
    <x v="461"/>
    <d v="2016-09-30T00:00:00"/>
    <d v="2016-09-10T00:00:00"/>
    <s v="Natioanl Package"/>
    <n v="5.75"/>
    <x v="82"/>
    <x v="5"/>
  </r>
  <r>
    <n v="10737"/>
    <s v="VINET"/>
    <x v="259"/>
    <d v="2017-12-09T00:00:00"/>
    <d v="2017-11-18T00:00:00"/>
    <s v="Natioanl Package"/>
    <n v="38.950000000000003"/>
    <x v="82"/>
    <x v="6"/>
  </r>
  <r>
    <n v="10739"/>
    <s v="VINET"/>
    <x v="428"/>
    <d v="2017-12-10T00:00:00"/>
    <d v="2017-11-17T00:00:00"/>
    <s v="Inland Shipping"/>
    <n v="55.4"/>
    <x v="82"/>
    <x v="6"/>
  </r>
  <r>
    <n v="10301"/>
    <s v="WANDK"/>
    <x v="321"/>
    <d v="2016-10-07T00:00:00"/>
    <d v="2016-09-17T00:00:00"/>
    <s v="Natioanl Package"/>
    <n v="225.39999999999998"/>
    <x v="83"/>
    <x v="5"/>
  </r>
  <r>
    <n v="10312"/>
    <s v="WANDK"/>
    <x v="462"/>
    <d v="2016-10-21T00:00:00"/>
    <d v="2016-10-03T00:00:00"/>
    <s v="Natioanl Package"/>
    <n v="201.29999999999998"/>
    <x v="83"/>
    <x v="5"/>
  </r>
  <r>
    <n v="10348"/>
    <s v="WANDK"/>
    <x v="463"/>
    <d v="2016-12-05T00:00:00"/>
    <d v="2016-11-15T00:00:00"/>
    <s v="Natioanl Package"/>
    <n v="3.9000000000000004"/>
    <x v="83"/>
    <x v="6"/>
  </r>
  <r>
    <n v="10356"/>
    <s v="WANDK"/>
    <x v="464"/>
    <d v="2016-12-16T00:00:00"/>
    <d v="2016-11-27T00:00:00"/>
    <s v="Natioanl Package"/>
    <n v="183.55"/>
    <x v="83"/>
    <x v="6"/>
  </r>
  <r>
    <n v="10513"/>
    <s v="WANDK"/>
    <x v="143"/>
    <d v="2017-06-03T00:00:00"/>
    <d v="2017-04-28T00:00:00"/>
    <s v="Speed Express"/>
    <n v="528.25"/>
    <x v="83"/>
    <x v="4"/>
  </r>
  <r>
    <n v="10632"/>
    <s v="WANDK"/>
    <x v="281"/>
    <d v="2017-09-11T00:00:00"/>
    <d v="2017-08-19T00:00:00"/>
    <s v="Speed Express"/>
    <n v="206.9"/>
    <x v="83"/>
    <x v="0"/>
  </r>
  <r>
    <n v="10640"/>
    <s v="WANDK"/>
    <x v="465"/>
    <d v="2017-09-18T00:00:00"/>
    <d v="2017-08-28T00:00:00"/>
    <s v="Speed Express"/>
    <n v="117.75"/>
    <x v="83"/>
    <x v="0"/>
  </r>
  <r>
    <n v="10651"/>
    <s v="WANDK"/>
    <x v="214"/>
    <d v="2017-09-29T00:00:00"/>
    <d v="2017-09-11T00:00:00"/>
    <s v="Natioanl Package"/>
    <n v="103"/>
    <x v="83"/>
    <x v="5"/>
  </r>
  <r>
    <n v="10668"/>
    <s v="WANDK"/>
    <x v="427"/>
    <d v="2017-10-13T00:00:00"/>
    <d v="2017-09-23T00:00:00"/>
    <s v="Natioanl Package"/>
    <n v="236.1"/>
    <x v="83"/>
    <x v="5"/>
  </r>
  <r>
    <n v="11046"/>
    <s v="WANDK"/>
    <x v="91"/>
    <d v="2018-05-21T00:00:00"/>
    <d v="2018-04-24T00:00:00"/>
    <s v="Natioanl Package"/>
    <n v="358.2"/>
    <x v="83"/>
    <x v="4"/>
  </r>
  <r>
    <n v="10266"/>
    <s v="WARTH"/>
    <x v="466"/>
    <d v="2016-09-06T00:00:00"/>
    <d v="2016-07-31T00:00:00"/>
    <s v="Inland Shipping"/>
    <n v="128.65"/>
    <x v="84"/>
    <x v="11"/>
  </r>
  <r>
    <n v="10270"/>
    <s v="WARTH"/>
    <x v="430"/>
    <d v="2016-08-29T00:00:00"/>
    <d v="2016-08-02T00:00:00"/>
    <s v="Speed Express"/>
    <n v="682.69999999999993"/>
    <x v="84"/>
    <x v="0"/>
  </r>
  <r>
    <n v="10320"/>
    <s v="WARTH"/>
    <x v="264"/>
    <d v="2016-10-17T00:00:00"/>
    <d v="2016-10-18T00:00:00"/>
    <s v="Inland Shipping"/>
    <n v="172.85"/>
    <x v="84"/>
    <x v="1"/>
  </r>
  <r>
    <n v="10333"/>
    <s v="WARTH"/>
    <x v="467"/>
    <d v="2016-11-15T00:00:00"/>
    <d v="2016-10-25T00:00:00"/>
    <s v="Inland Shipping"/>
    <n v="2.9499999999999997"/>
    <x v="84"/>
    <x v="1"/>
  </r>
  <r>
    <n v="10412"/>
    <s v="WARTH"/>
    <x v="468"/>
    <d v="2017-02-10T00:00:00"/>
    <d v="2017-01-15T00:00:00"/>
    <s v="Natioanl Package"/>
    <n v="18.850000000000001"/>
    <x v="84"/>
    <x v="2"/>
  </r>
  <r>
    <n v="10416"/>
    <s v="WARTH"/>
    <x v="426"/>
    <d v="2017-02-13T00:00:00"/>
    <d v="2017-01-27T00:00:00"/>
    <s v="Inland Shipping"/>
    <n v="113.6"/>
    <x v="84"/>
    <x v="2"/>
  </r>
  <r>
    <n v="10437"/>
    <s v="WARTH"/>
    <x v="54"/>
    <d v="2017-03-05T00:00:00"/>
    <d v="2017-02-12T00:00:00"/>
    <s v="Speed Express"/>
    <n v="99.85"/>
    <x v="84"/>
    <x v="10"/>
  </r>
  <r>
    <n v="10455"/>
    <s v="WARTH"/>
    <x v="469"/>
    <d v="2017-04-07T00:00:00"/>
    <d v="2017-03-03T00:00:00"/>
    <s v="Natioanl Package"/>
    <n v="902.25"/>
    <x v="84"/>
    <x v="10"/>
  </r>
  <r>
    <n v="10526"/>
    <s v="WARTH"/>
    <x v="378"/>
    <d v="2017-06-02T00:00:00"/>
    <d v="2017-05-15T00:00:00"/>
    <s v="Natioanl Package"/>
    <n v="292.95000000000005"/>
    <x v="84"/>
    <x v="7"/>
  </r>
  <r>
    <n v="10553"/>
    <s v="WARTH"/>
    <x v="349"/>
    <d v="2017-06-27T00:00:00"/>
    <d v="2017-06-03T00:00:00"/>
    <s v="Natioanl Package"/>
    <n v="747.45"/>
    <x v="84"/>
    <x v="7"/>
  </r>
  <r>
    <n v="10583"/>
    <s v="WARTH"/>
    <x v="58"/>
    <d v="2017-07-28T00:00:00"/>
    <d v="2017-07-04T00:00:00"/>
    <s v="Natioanl Package"/>
    <n v="36.4"/>
    <x v="84"/>
    <x v="8"/>
  </r>
  <r>
    <n v="10636"/>
    <s v="WARTH"/>
    <x v="366"/>
    <d v="2017-09-16T00:00:00"/>
    <d v="2017-08-26T00:00:00"/>
    <s v="Speed Express"/>
    <n v="5.75"/>
    <x v="84"/>
    <x v="0"/>
  </r>
  <r>
    <n v="10750"/>
    <s v="WARTH"/>
    <x v="470"/>
    <d v="2017-12-19T00:00:00"/>
    <d v="2017-11-24T00:00:00"/>
    <s v="Speed Express"/>
    <n v="396.5"/>
    <x v="84"/>
    <x v="6"/>
  </r>
  <r>
    <n v="10781"/>
    <s v="WARTH"/>
    <x v="101"/>
    <d v="2018-01-14T00:00:00"/>
    <d v="2017-12-19T00:00:00"/>
    <s v="Inland Shipping"/>
    <n v="365.79999999999995"/>
    <x v="84"/>
    <x v="9"/>
  </r>
  <r>
    <n v="11025"/>
    <s v="WARTH"/>
    <x v="134"/>
    <d v="2018-05-13T00:00:00"/>
    <d v="2018-04-24T00:00:00"/>
    <s v="Inland Shipping"/>
    <n v="145.85000000000002"/>
    <x v="84"/>
    <x v="4"/>
  </r>
  <r>
    <n v="10256"/>
    <s v="WELLI"/>
    <x v="471"/>
    <d v="2016-08-12T00:00:00"/>
    <d v="2016-07-17T00:00:00"/>
    <s v="Natioanl Package"/>
    <n v="69.850000000000009"/>
    <x v="85"/>
    <x v="11"/>
  </r>
  <r>
    <n v="10420"/>
    <s v="WELLI"/>
    <x v="362"/>
    <d v="2017-02-18T00:00:00"/>
    <d v="2017-01-27T00:00:00"/>
    <s v="Speed Express"/>
    <n v="220.6"/>
    <x v="85"/>
    <x v="2"/>
  </r>
  <r>
    <n v="10585"/>
    <s v="WELLI"/>
    <x v="472"/>
    <d v="2017-07-29T00:00:00"/>
    <d v="2017-07-10T00:00:00"/>
    <s v="Speed Express"/>
    <n v="67.05"/>
    <x v="85"/>
    <x v="11"/>
  </r>
  <r>
    <n v="10644"/>
    <s v="WELLI"/>
    <x v="0"/>
    <d v="2017-09-22T00:00:00"/>
    <d v="2017-09-01T00:00:00"/>
    <s v="Natioanl Package"/>
    <n v="0.70000000000000007"/>
    <x v="85"/>
    <x v="0"/>
  </r>
  <r>
    <n v="10803"/>
    <s v="WELLI"/>
    <x v="425"/>
    <d v="2018-01-27T00:00:00"/>
    <d v="2018-01-06T00:00:00"/>
    <s v="Speed Express"/>
    <n v="276.14999999999998"/>
    <x v="85"/>
    <x v="9"/>
  </r>
  <r>
    <n v="10809"/>
    <s v="WELLI"/>
    <x v="285"/>
    <d v="2018-01-29T00:00:00"/>
    <d v="2018-01-07T00:00:00"/>
    <s v="Speed Express"/>
    <n v="24.35"/>
    <x v="85"/>
    <x v="2"/>
  </r>
  <r>
    <n v="10900"/>
    <s v="WELLI"/>
    <x v="307"/>
    <d v="2018-03-20T00:00:00"/>
    <d v="2018-03-04T00:00:00"/>
    <s v="Natioanl Package"/>
    <n v="8.2999999999999989"/>
    <x v="85"/>
    <x v="10"/>
  </r>
  <r>
    <n v="10905"/>
    <s v="WELLI"/>
    <x v="233"/>
    <d v="2018-03-24T00:00:00"/>
    <d v="2018-03-06T00:00:00"/>
    <s v="Natioanl Package"/>
    <n v="68.600000000000009"/>
    <x v="85"/>
    <x v="10"/>
  </r>
  <r>
    <n v="10935"/>
    <s v="WELLI"/>
    <x v="223"/>
    <d v="2018-04-06T00:00:00"/>
    <d v="2018-03-18T00:00:00"/>
    <s v="Inland Shipping"/>
    <n v="237.95000000000002"/>
    <x v="85"/>
    <x v="3"/>
  </r>
  <r>
    <n v="10269"/>
    <s v="WHITC"/>
    <x v="473"/>
    <d v="2016-08-14T00:00:00"/>
    <d v="2016-08-09T00:00:00"/>
    <s v="Speed Express"/>
    <n v="22.799999999999997"/>
    <x v="86"/>
    <x v="11"/>
  </r>
  <r>
    <n v="10344"/>
    <s v="WHITC"/>
    <x v="474"/>
    <d v="2016-11-29T00:00:00"/>
    <d v="2016-11-05T00:00:00"/>
    <s v="Natioanl Package"/>
    <n v="116.44999999999999"/>
    <x v="86"/>
    <x v="6"/>
  </r>
  <r>
    <n v="10469"/>
    <s v="WHITC"/>
    <x v="475"/>
    <d v="2017-04-07T00:00:00"/>
    <d v="2017-03-14T00:00:00"/>
    <s v="Speed Express"/>
    <n v="300.89999999999998"/>
    <x v="86"/>
    <x v="3"/>
  </r>
  <r>
    <n v="10483"/>
    <s v="WHITC"/>
    <x v="94"/>
    <d v="2017-04-21T00:00:00"/>
    <d v="2017-04-25T00:00:00"/>
    <s v="Natioanl Package"/>
    <n v="76.399999999999991"/>
    <x v="86"/>
    <x v="3"/>
  </r>
  <r>
    <n v="10504"/>
    <s v="WHITC"/>
    <x v="253"/>
    <d v="2017-05-09T00:00:00"/>
    <d v="2017-04-18T00:00:00"/>
    <s v="Inland Shipping"/>
    <n v="295.65000000000003"/>
    <x v="86"/>
    <x v="4"/>
  </r>
  <r>
    <n v="10596"/>
    <s v="WHITC"/>
    <x v="358"/>
    <d v="2017-08-08T00:00:00"/>
    <d v="2017-08-12T00:00:00"/>
    <s v="Speed Express"/>
    <n v="81.7"/>
    <x v="86"/>
    <x v="11"/>
  </r>
  <r>
    <n v="10693"/>
    <s v="WHITC"/>
    <x v="381"/>
    <d v="2017-10-20T00:00:00"/>
    <d v="2017-10-10T00:00:00"/>
    <s v="Inland Shipping"/>
    <n v="696.7"/>
    <x v="86"/>
    <x v="1"/>
  </r>
  <r>
    <n v="10696"/>
    <s v="WHITC"/>
    <x v="313"/>
    <d v="2017-11-19T00:00:00"/>
    <d v="2017-10-14T00:00:00"/>
    <s v="Inland Shipping"/>
    <n v="512.75"/>
    <x v="86"/>
    <x v="1"/>
  </r>
  <r>
    <n v="10723"/>
    <s v="WHITC"/>
    <x v="336"/>
    <d v="2017-11-27T00:00:00"/>
    <d v="2017-11-25T00:00:00"/>
    <s v="Speed Express"/>
    <n v="108.6"/>
    <x v="86"/>
    <x v="1"/>
  </r>
  <r>
    <n v="10740"/>
    <s v="WHITC"/>
    <x v="476"/>
    <d v="2017-12-11T00:00:00"/>
    <d v="2017-11-25T00:00:00"/>
    <s v="Natioanl Package"/>
    <n v="409.4"/>
    <x v="86"/>
    <x v="6"/>
  </r>
  <r>
    <n v="10861"/>
    <s v="WHITC"/>
    <x v="297"/>
    <d v="2018-02-27T00:00:00"/>
    <d v="2018-02-17T00:00:00"/>
    <s v="Natioanl Package"/>
    <n v="74.650000000000006"/>
    <x v="86"/>
    <x v="2"/>
  </r>
  <r>
    <n v="10904"/>
    <s v="WHITC"/>
    <x v="233"/>
    <d v="2018-03-24T00:00:00"/>
    <d v="2018-02-27T00:00:00"/>
    <s v="Inland Shipping"/>
    <n v="814.75"/>
    <x v="86"/>
    <x v="10"/>
  </r>
  <r>
    <n v="11032"/>
    <s v="WHITC"/>
    <x v="408"/>
    <d v="2018-05-15T00:00:00"/>
    <d v="2018-04-23T00:00:00"/>
    <s v="Inland Shipping"/>
    <n v="3030.9500000000003"/>
    <x v="86"/>
    <x v="4"/>
  </r>
  <r>
    <n v="11066"/>
    <s v="WHITC"/>
    <x v="309"/>
    <d v="2018-05-29T00:00:00"/>
    <d v="2018-05-04T00:00:00"/>
    <s v="Natioanl Package"/>
    <n v="223.6"/>
    <x v="86"/>
    <x v="7"/>
  </r>
  <r>
    <n v="10248"/>
    <s v="WILMK"/>
    <x v="477"/>
    <d v="2016-08-01T00:00:00"/>
    <d v="2016-07-16T00:00:00"/>
    <s v="Inland Shipping"/>
    <n v="161.9"/>
    <x v="87"/>
    <x v="11"/>
  </r>
  <r>
    <n v="10615"/>
    <s v="WILMK"/>
    <x v="478"/>
    <d v="2017-08-27T00:00:00"/>
    <d v="2017-08-06T00:00:00"/>
    <s v="Inland Shipping"/>
    <n v="3.75"/>
    <x v="87"/>
    <x v="11"/>
  </r>
  <r>
    <n v="10673"/>
    <s v="WILMK"/>
    <x v="267"/>
    <d v="2017-10-16T00:00:00"/>
    <d v="2017-09-19T00:00:00"/>
    <s v="Speed Express"/>
    <n v="113.80000000000001"/>
    <x v="87"/>
    <x v="5"/>
  </r>
  <r>
    <n v="10695"/>
    <s v="WILMK"/>
    <x v="479"/>
    <d v="2017-11-18T00:00:00"/>
    <d v="2017-10-14T00:00:00"/>
    <s v="Speed Express"/>
    <n v="83.6"/>
    <x v="87"/>
    <x v="1"/>
  </r>
  <r>
    <n v="10873"/>
    <s v="WILMK"/>
    <x v="43"/>
    <d v="2018-03-06T00:00:00"/>
    <d v="2018-02-09T00:00:00"/>
    <s v="Speed Express"/>
    <n v="4.0999999999999996"/>
    <x v="87"/>
    <x v="10"/>
  </r>
  <r>
    <n v="10879"/>
    <s v="WILMK"/>
    <x v="178"/>
    <d v="2018-03-10T00:00:00"/>
    <d v="2018-02-12T00:00:00"/>
    <s v="Inland Shipping"/>
    <n v="42.5"/>
    <x v="87"/>
    <x v="10"/>
  </r>
  <r>
    <n v="10910"/>
    <s v="WILMK"/>
    <x v="211"/>
    <d v="2018-03-26T00:00:00"/>
    <d v="2018-03-04T00:00:00"/>
    <s v="Inland Shipping"/>
    <n v="190.55"/>
    <x v="87"/>
    <x v="10"/>
  </r>
  <r>
    <n v="11005"/>
    <s v="WILMK"/>
    <x v="224"/>
    <d v="2018-05-05T00:00:00"/>
    <d v="2018-04-10T00:00:00"/>
    <s v="Speed Express"/>
    <n v="3.75"/>
    <x v="87"/>
    <x v="4"/>
  </r>
  <r>
    <n v="10374"/>
    <s v="WOLZA"/>
    <x v="250"/>
    <d v="2017-01-02T00:00:00"/>
    <d v="2016-12-09T00:00:00"/>
    <s v="Inland Shipping"/>
    <n v="19.7"/>
    <x v="88"/>
    <x v="9"/>
  </r>
  <r>
    <n v="10611"/>
    <s v="WOLZA"/>
    <x v="280"/>
    <d v="2017-08-22T00:00:00"/>
    <d v="2017-08-01T00:00:00"/>
    <s v="Natioanl Package"/>
    <n v="403.25"/>
    <x v="88"/>
    <x v="11"/>
  </r>
  <r>
    <n v="10792"/>
    <s v="WOLZA"/>
    <x v="191"/>
    <d v="2018-01-20T00:00:00"/>
    <d v="2017-12-31T00:00:00"/>
    <s v="Inland Shipping"/>
    <n v="118.94999999999999"/>
    <x v="88"/>
    <x v="9"/>
  </r>
  <r>
    <n v="10870"/>
    <s v="WOLZA"/>
    <x v="368"/>
    <d v="2018-03-04T00:00:00"/>
    <d v="2018-02-13T00:00:00"/>
    <s v="Inland Shipping"/>
    <n v="60.199999999999996"/>
    <x v="88"/>
    <x v="10"/>
  </r>
  <r>
    <n v="10906"/>
    <s v="WOLZA"/>
    <x v="429"/>
    <d v="2018-03-11T00:00:00"/>
    <d v="2018-03-03T00:00:00"/>
    <s v="Inland Shipping"/>
    <n v="131.44999999999999"/>
    <x v="88"/>
    <x v="10"/>
  </r>
  <r>
    <n v="10998"/>
    <s v="WOLZA"/>
    <x v="308"/>
    <d v="2018-04-17T00:00:00"/>
    <d v="2018-04-17T00:00:00"/>
    <s v="Natioanl Package"/>
    <n v="101.55"/>
    <x v="88"/>
    <x v="4"/>
  </r>
  <r>
    <n v="11044"/>
    <s v="WOLZA"/>
    <x v="91"/>
    <d v="2018-05-21T00:00:00"/>
    <d v="2018-05-01T00:00:00"/>
    <s v="Speed Express"/>
    <n v="43.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BD16EF-CB77-45CE-AC63-C78C8E0090C5}" name="Yearly_Order_Pivot_Table"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3:B7" firstHeaderRow="1" firstDataRow="1" firstDataCol="1" rowPageCount="1" colPageCount="1"/>
  <pivotFields count="12">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showAll="0"/>
    <pivotField axis="axisPage" showAll="0">
      <items count="90">
        <item x="0"/>
        <item x="1"/>
        <item x="2"/>
        <item x="3"/>
        <item x="4"/>
        <item x="10"/>
        <item x="5"/>
        <item x="7"/>
        <item x="8"/>
        <item x="6"/>
        <item x="9"/>
        <item x="11"/>
        <item x="12"/>
        <item x="13"/>
        <item x="14"/>
        <item x="15"/>
        <item x="16"/>
        <item x="17"/>
        <item x="18"/>
        <item x="19"/>
        <item x="25"/>
        <item x="20"/>
        <item x="21"/>
        <item x="22"/>
        <item x="24"/>
        <item x="23"/>
        <item x="26"/>
        <item x="27"/>
        <item x="31"/>
        <item x="28"/>
        <item x="29"/>
        <item x="30"/>
        <item x="32"/>
        <item x="33"/>
        <item x="35"/>
        <item x="34"/>
        <item x="36"/>
        <item x="37"/>
        <item x="38"/>
        <item x="39"/>
        <item x="40"/>
        <item x="41"/>
        <item x="42"/>
        <item x="43"/>
        <item x="44"/>
        <item x="45"/>
        <item x="46"/>
        <item x="48"/>
        <item x="47"/>
        <item x="49"/>
        <item x="50"/>
        <item x="51"/>
        <item x="54"/>
        <item x="52"/>
        <item x="53"/>
        <item x="55"/>
        <item x="56"/>
        <item x="57"/>
        <item x="59"/>
        <item x="58"/>
        <item x="60"/>
        <item x="61"/>
        <item x="62"/>
        <item x="63"/>
        <item x="64"/>
        <item x="65"/>
        <item x="66"/>
        <item x="67"/>
        <item x="68"/>
        <item x="69"/>
        <item x="70"/>
        <item x="71"/>
        <item x="72"/>
        <item x="73"/>
        <item x="74"/>
        <item x="75"/>
        <item x="76"/>
        <item x="77"/>
        <item x="78"/>
        <item x="79"/>
        <item x="80"/>
        <item x="81"/>
        <item x="82"/>
        <item x="84"/>
        <item x="85"/>
        <item x="88"/>
        <item x="86"/>
        <item x="87"/>
        <item x="83"/>
        <item t="default"/>
      </items>
    </pivotField>
    <pivotField showAll="0">
      <items count="13">
        <item x="2"/>
        <item x="10"/>
        <item x="3"/>
        <item x="4"/>
        <item x="7"/>
        <item x="8"/>
        <item x="11"/>
        <item x="0"/>
        <item x="5"/>
        <item x="1"/>
        <item x="6"/>
        <item x="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1"/>
    <field x="10"/>
    <field x="9"/>
    <field x="2"/>
  </rowFields>
  <rowItems count="4">
    <i>
      <x v="1"/>
    </i>
    <i>
      <x v="2"/>
    </i>
    <i>
      <x v="3"/>
    </i>
    <i t="grand">
      <x/>
    </i>
  </rowItems>
  <colItems count="1">
    <i/>
  </colItems>
  <pageFields count="1">
    <pageField fld="7" item="2" hier="-1"/>
  </pageFields>
  <dataFields count="1">
    <dataField name="Sum of OrderAmount" fld="6" baseField="11" baseItem="1" numFmtId="166"/>
  </dataFields>
  <formats count="2">
    <format dxfId="10">
      <pivotArea dataOnly="0" labelOnly="1" outline="0" axis="axisValues" fieldPosition="0"/>
    </format>
    <format dxfId="9">
      <pivotArea outline="0" fieldPosition="0">
        <references count="1">
          <reference field="4294967294" count="1">
            <x v="0"/>
          </reference>
        </references>
      </pivotArea>
    </format>
  </format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FDCBD6A3-4FD2-447C-B40C-C3F51B0567B8}" sourceName="Order Month">
  <pivotTables>
    <pivotTable tabId="12" name="Yearly_Order_Pivot_Table"/>
  </pivotTables>
  <data>
    <tabular pivotCacheId="1240307802">
      <items count="12">
        <i x="2" s="1"/>
        <i x="4" s="1"/>
        <i x="7" s="1"/>
        <i x="8" s="1"/>
        <i x="5" s="1"/>
        <i x="6" s="1"/>
        <i x="10" s="1" nd="1"/>
        <i x="3" s="1" nd="1"/>
        <i x="11" s="1" nd="1"/>
        <i x="0" s="1" nd="1"/>
        <i x="1"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7F882434-8D21-4E7A-ABF0-38072F1A84DF}" cache="Slicer_Order_Month" caption="Order Month" columnCount="4" style="SlicerStyleDark6"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73076F6-E64E-484B-AB3D-3DF26CE357F0}" name="Customer_Info" displayName="Customer_Info" ref="A1:K92" totalsRowShown="0" headerRowDxfId="22" dataDxfId="21">
  <autoFilter ref="A1:K92" xr:uid="{073076F6-E64E-484B-AB3D-3DF26CE357F0}"/>
  <tableColumns count="11">
    <tableColumn id="1" xr3:uid="{841A3AC6-78EA-4F4A-AEF4-7E1637B4236F}" name="Company Name" dataDxfId="20"/>
    <tableColumn id="2" xr3:uid="{AED94E6D-EA5A-428C-8C70-6C5310D1D57E}" name="Customer ID" dataDxfId="19"/>
    <tableColumn id="4" xr3:uid="{17D4893A-08D4-4776-AC92-F5480B2D2636}" name="Contact Name" dataDxfId="18"/>
    <tableColumn id="5" xr3:uid="{46B9E56B-1D30-435B-8510-86F354E454D6}" name="Contact Title" dataDxfId="17"/>
    <tableColumn id="6" xr3:uid="{B9EB01B8-7701-4277-BEF8-0A4404C98F62}" name="Address" dataDxfId="16"/>
    <tableColumn id="7" xr3:uid="{7181C476-9861-404D-81B5-4C50C6CA6812}" name="City" dataDxfId="15"/>
    <tableColumn id="8" xr3:uid="{1D37E77C-0384-42DB-8827-2E23064E2866}" name="Region" dataDxfId="14"/>
    <tableColumn id="9" xr3:uid="{A4161E6F-5025-4E42-A064-DDDC4087E2AB}" name="Postal Code" dataDxfId="13"/>
    <tableColumn id="10" xr3:uid="{4CB44809-9296-4109-A542-A6C0B16115CE}" name="State" dataDxfId="12"/>
    <tableColumn id="11" xr3:uid="{E0D265AE-979C-4999-94B1-0780E8D54CAF}" name="Phone" dataDxfId="11"/>
    <tableColumn id="12" xr3:uid="{D804F087-2FD1-4717-9332-D2C554894415}" name="Fax"/>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327C82-D778-445F-93C9-33C0D8BB6384}" name="Cutomer_Order_Info" displayName="Cutomer_Order_Info" ref="B15:J845" totalsRowShown="0" headerRowDxfId="8" dataDxfId="7">
  <tableColumns count="9">
    <tableColumn id="1" xr3:uid="{9FBCCD27-FD80-475E-B494-DD4A563A6FB0}" name="OrderID"/>
    <tableColumn id="2" xr3:uid="{794591B1-834A-424C-9BD3-5A4C88C2C36F}" name="CustomerID"/>
    <tableColumn id="3" xr3:uid="{D967B1D5-76E3-41AC-898E-9C015B151A95}" name="OrderDate" dataDxfId="6"/>
    <tableColumn id="4" xr3:uid="{A0189CCC-B28A-43B5-B104-CB4552B41AF1}" name="RequiredDate" dataDxfId="5"/>
    <tableColumn id="5" xr3:uid="{6AE867AC-C3EE-4574-9BF9-5CEACFEB37E3}" name="ShippedDate" dataDxfId="4"/>
    <tableColumn id="6" xr3:uid="{9F431B97-B26B-4250-B5CB-1DD0B3FA28F8}" name="Shipper Name " dataDxfId="3"/>
    <tableColumn id="7" xr3:uid="{0233EC69-CC30-40EC-B0C5-47BE7C9E0DF1}" name="OrderAmount" dataDxfId="2"/>
    <tableColumn id="8" xr3:uid="{C58EDB18-5C2F-40BD-97D3-18E4C856647E}" name="Company Name" dataDxfId="1"/>
    <tableColumn id="9" xr3:uid="{4CEE6D18-FB09-4B28-B5C6-750A1DB4E66E}" name="Order Month" dataDxfId="0">
      <calculatedColumnFormula>TEXT(D16,"mmm")</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topLeftCell="A71" workbookViewId="0">
      <selection activeCell="E4" sqref="E4"/>
    </sheetView>
  </sheetViews>
  <sheetFormatPr defaultRowHeight="15" x14ac:dyDescent="0.25"/>
  <cols>
    <col min="1" max="1" width="23.42578125" style="3" bestFit="1" customWidth="1"/>
    <col min="2" max="2" width="14" style="3" customWidth="1"/>
    <col min="3" max="3" width="24.140625" style="4" bestFit="1" customWidth="1"/>
    <col min="4" max="4" width="28.5703125" style="3" bestFit="1" customWidth="1"/>
    <col min="5" max="5" width="73" style="3" bestFit="1" customWidth="1"/>
    <col min="6" max="6" width="19.7109375" style="3" bestFit="1" customWidth="1"/>
    <col min="7" max="7" width="14" style="3" bestFit="1" customWidth="1"/>
    <col min="8" max="8" width="13.5703125" style="3" customWidth="1"/>
    <col min="9" max="9" width="13.140625" style="3" bestFit="1" customWidth="1"/>
    <col min="10" max="11" width="15.28515625" style="3" bestFit="1" customWidth="1"/>
    <col min="12" max="16384" width="9.140625" style="3"/>
  </cols>
  <sheetData>
    <row r="1" spans="1:11" customFormat="1" x14ac:dyDescent="0.25">
      <c r="A1" s="3" t="s">
        <v>303</v>
      </c>
      <c r="B1" s="3" t="s">
        <v>304</v>
      </c>
      <c r="C1" s="4" t="s">
        <v>305</v>
      </c>
      <c r="D1" s="3" t="s">
        <v>306</v>
      </c>
      <c r="E1" s="3" t="s">
        <v>298</v>
      </c>
      <c r="F1" s="3" t="s">
        <v>299</v>
      </c>
      <c r="G1" s="3" t="s">
        <v>300</v>
      </c>
      <c r="H1" s="3" t="s">
        <v>307</v>
      </c>
      <c r="I1" s="3" t="s">
        <v>454</v>
      </c>
      <c r="J1" s="3" t="s">
        <v>301</v>
      </c>
      <c r="K1" t="s">
        <v>302</v>
      </c>
    </row>
    <row r="2" spans="1:11" customFormat="1" x14ac:dyDescent="0.25">
      <c r="A2" s="3" t="s">
        <v>315</v>
      </c>
      <c r="B2" s="3" t="s">
        <v>29</v>
      </c>
      <c r="C2" s="5" t="s">
        <v>612</v>
      </c>
      <c r="D2" s="3" t="s">
        <v>30</v>
      </c>
      <c r="E2" s="3" t="s">
        <v>520</v>
      </c>
      <c r="F2" s="3" t="s">
        <v>478</v>
      </c>
      <c r="G2" s="3"/>
      <c r="H2" s="3">
        <v>382424</v>
      </c>
      <c r="I2" s="3" t="s">
        <v>457</v>
      </c>
      <c r="J2" s="3" t="s">
        <v>31</v>
      </c>
      <c r="K2" t="s">
        <v>32</v>
      </c>
    </row>
    <row r="3" spans="1:11" customFormat="1" x14ac:dyDescent="0.25">
      <c r="A3" s="3" t="s">
        <v>316</v>
      </c>
      <c r="B3" s="3" t="s">
        <v>33</v>
      </c>
      <c r="C3" s="5" t="s">
        <v>388</v>
      </c>
      <c r="D3" s="3" t="s">
        <v>34</v>
      </c>
      <c r="E3" s="3" t="s">
        <v>567</v>
      </c>
      <c r="F3" s="3" t="s">
        <v>500</v>
      </c>
      <c r="G3" s="3"/>
      <c r="H3" s="3">
        <v>600106</v>
      </c>
      <c r="I3" s="3" t="s">
        <v>460</v>
      </c>
      <c r="J3" s="3" t="s">
        <v>35</v>
      </c>
      <c r="K3" t="s">
        <v>36</v>
      </c>
    </row>
    <row r="4" spans="1:11" customFormat="1" x14ac:dyDescent="0.25">
      <c r="A4" s="3" t="s">
        <v>317</v>
      </c>
      <c r="B4" s="3" t="s">
        <v>37</v>
      </c>
      <c r="C4" s="5" t="s">
        <v>389</v>
      </c>
      <c r="D4" s="3" t="s">
        <v>34</v>
      </c>
      <c r="E4" s="3" t="s">
        <v>568</v>
      </c>
      <c r="F4" s="3" t="s">
        <v>500</v>
      </c>
      <c r="G4" s="3"/>
      <c r="H4" s="3">
        <v>600024</v>
      </c>
      <c r="I4" s="3" t="s">
        <v>460</v>
      </c>
      <c r="J4" s="3" t="s">
        <v>38</v>
      </c>
    </row>
    <row r="5" spans="1:11" customFormat="1" x14ac:dyDescent="0.25">
      <c r="A5" s="3" t="s">
        <v>318</v>
      </c>
      <c r="B5" s="3" t="s">
        <v>39</v>
      </c>
      <c r="C5" s="5" t="s">
        <v>613</v>
      </c>
      <c r="D5" s="3" t="s">
        <v>30</v>
      </c>
      <c r="E5" s="3" t="s">
        <v>562</v>
      </c>
      <c r="F5" s="3" t="s">
        <v>498</v>
      </c>
      <c r="G5" s="3" t="s">
        <v>563</v>
      </c>
      <c r="H5" s="3">
        <v>302019</v>
      </c>
      <c r="I5" s="3" t="s">
        <v>467</v>
      </c>
      <c r="J5" s="3" t="s">
        <v>40</v>
      </c>
      <c r="K5" t="s">
        <v>41</v>
      </c>
    </row>
    <row r="6" spans="1:11" customFormat="1" x14ac:dyDescent="0.25">
      <c r="A6" s="3" t="s">
        <v>319</v>
      </c>
      <c r="B6" s="3" t="s">
        <v>42</v>
      </c>
      <c r="C6" s="5" t="s">
        <v>614</v>
      </c>
      <c r="D6" s="3" t="s">
        <v>43</v>
      </c>
      <c r="E6" s="3" t="s">
        <v>554</v>
      </c>
      <c r="F6" s="3" t="s">
        <v>492</v>
      </c>
      <c r="G6" s="3"/>
      <c r="H6" s="3">
        <v>793001</v>
      </c>
      <c r="I6" s="3" t="s">
        <v>465</v>
      </c>
      <c r="J6" s="3" t="s">
        <v>44</v>
      </c>
      <c r="K6" t="s">
        <v>45</v>
      </c>
    </row>
    <row r="7" spans="1:11" customFormat="1" x14ac:dyDescent="0.25">
      <c r="A7" s="3" t="s">
        <v>320</v>
      </c>
      <c r="B7" s="3" t="s">
        <v>46</v>
      </c>
      <c r="C7" s="5" t="s">
        <v>390</v>
      </c>
      <c r="D7" s="3" t="s">
        <v>30</v>
      </c>
      <c r="E7" s="3" t="s">
        <v>524</v>
      </c>
      <c r="F7" s="3" t="s">
        <v>479</v>
      </c>
      <c r="G7" s="3"/>
      <c r="H7" s="3">
        <v>395010</v>
      </c>
      <c r="I7" s="3" t="s">
        <v>457</v>
      </c>
      <c r="J7" s="3" t="s">
        <v>47</v>
      </c>
      <c r="K7" t="s">
        <v>48</v>
      </c>
    </row>
    <row r="8" spans="1:11" customFormat="1" x14ac:dyDescent="0.25">
      <c r="A8" s="3" t="s">
        <v>321</v>
      </c>
      <c r="B8" s="3" t="s">
        <v>49</v>
      </c>
      <c r="C8" s="5" t="s">
        <v>391</v>
      </c>
      <c r="D8" s="3" t="s">
        <v>50</v>
      </c>
      <c r="E8" s="3" t="s">
        <v>550</v>
      </c>
      <c r="F8" s="3" t="s">
        <v>487</v>
      </c>
      <c r="G8" s="3"/>
      <c r="H8" s="3">
        <v>400072</v>
      </c>
      <c r="I8" s="3" t="s">
        <v>456</v>
      </c>
      <c r="J8" s="3" t="s">
        <v>51</v>
      </c>
      <c r="K8" t="s">
        <v>52</v>
      </c>
    </row>
    <row r="9" spans="1:11" customFormat="1" x14ac:dyDescent="0.25">
      <c r="A9" s="3" t="s">
        <v>322</v>
      </c>
      <c r="B9" s="3" t="s">
        <v>53</v>
      </c>
      <c r="C9" s="5" t="s">
        <v>615</v>
      </c>
      <c r="D9" s="3" t="s">
        <v>34</v>
      </c>
      <c r="E9" s="3" t="s">
        <v>536</v>
      </c>
      <c r="F9" s="3" t="s">
        <v>484</v>
      </c>
      <c r="G9" s="3"/>
      <c r="H9" s="3">
        <v>834008</v>
      </c>
      <c r="I9" s="3" t="s">
        <v>464</v>
      </c>
      <c r="J9" s="3" t="s">
        <v>54</v>
      </c>
      <c r="K9" t="s">
        <v>55</v>
      </c>
    </row>
    <row r="10" spans="1:11" customFormat="1" x14ac:dyDescent="0.25">
      <c r="A10" s="3" t="s">
        <v>324</v>
      </c>
      <c r="B10" s="3" t="s">
        <v>56</v>
      </c>
      <c r="C10" s="5" t="s">
        <v>616</v>
      </c>
      <c r="D10" s="3" t="s">
        <v>34</v>
      </c>
      <c r="E10" s="3" t="s">
        <v>545</v>
      </c>
      <c r="F10" s="3" t="s">
        <v>488</v>
      </c>
      <c r="G10" s="3"/>
      <c r="H10" s="3">
        <v>412115</v>
      </c>
      <c r="I10" s="3" t="s">
        <v>456</v>
      </c>
      <c r="J10" s="3" t="s">
        <v>57</v>
      </c>
      <c r="K10" t="s">
        <v>58</v>
      </c>
    </row>
    <row r="11" spans="1:11" customFormat="1" x14ac:dyDescent="0.25">
      <c r="A11" s="3" t="s">
        <v>323</v>
      </c>
      <c r="B11" s="3" t="s">
        <v>59</v>
      </c>
      <c r="C11" s="5" t="s">
        <v>392</v>
      </c>
      <c r="D11" s="3" t="s">
        <v>60</v>
      </c>
      <c r="E11" s="3" t="s">
        <v>592</v>
      </c>
      <c r="F11" s="3" t="s">
        <v>477</v>
      </c>
      <c r="G11" s="3" t="s">
        <v>516</v>
      </c>
      <c r="H11" s="3">
        <v>495001</v>
      </c>
      <c r="I11" s="3" t="s">
        <v>452</v>
      </c>
      <c r="J11" s="3" t="s">
        <v>61</v>
      </c>
      <c r="K11" t="s">
        <v>62</v>
      </c>
    </row>
    <row r="12" spans="1:11" customFormat="1" x14ac:dyDescent="0.25">
      <c r="A12" s="3" t="s">
        <v>325</v>
      </c>
      <c r="B12" s="3" t="s">
        <v>63</v>
      </c>
      <c r="C12" s="5" t="s">
        <v>617</v>
      </c>
      <c r="D12" s="3" t="s">
        <v>30</v>
      </c>
      <c r="E12" s="3" t="s">
        <v>564</v>
      </c>
      <c r="F12" s="3" t="s">
        <v>498</v>
      </c>
      <c r="G12" s="3"/>
      <c r="H12" s="3">
        <v>302015</v>
      </c>
      <c r="I12" s="3" t="s">
        <v>467</v>
      </c>
      <c r="J12" s="3" t="s">
        <v>64</v>
      </c>
    </row>
    <row r="13" spans="1:11" customFormat="1" x14ac:dyDescent="0.25">
      <c r="A13" s="3" t="s">
        <v>326</v>
      </c>
      <c r="B13" s="3" t="s">
        <v>65</v>
      </c>
      <c r="C13" s="5" t="s">
        <v>393</v>
      </c>
      <c r="D13" s="3" t="s">
        <v>66</v>
      </c>
      <c r="E13" s="3" t="s">
        <v>509</v>
      </c>
      <c r="F13" s="3" t="s">
        <v>470</v>
      </c>
      <c r="G13" s="3"/>
      <c r="H13" s="3">
        <v>781005</v>
      </c>
      <c r="I13" s="3" t="s">
        <v>448</v>
      </c>
      <c r="J13" s="3" t="s">
        <v>67</v>
      </c>
      <c r="K13" t="s">
        <v>68</v>
      </c>
    </row>
    <row r="14" spans="1:11" customFormat="1" x14ac:dyDescent="0.25">
      <c r="A14" s="3" t="s">
        <v>327</v>
      </c>
      <c r="B14" s="3" t="s">
        <v>69</v>
      </c>
      <c r="C14" s="5" t="s">
        <v>394</v>
      </c>
      <c r="D14" s="3" t="s">
        <v>50</v>
      </c>
      <c r="E14" s="3" t="s">
        <v>569</v>
      </c>
      <c r="F14" s="3" t="s">
        <v>500</v>
      </c>
      <c r="G14" s="3"/>
      <c r="H14" s="3">
        <v>600040</v>
      </c>
      <c r="I14" s="3" t="s">
        <v>460</v>
      </c>
      <c r="J14" s="3" t="s">
        <v>70</v>
      </c>
      <c r="K14" t="s">
        <v>71</v>
      </c>
    </row>
    <row r="15" spans="1:11" customFormat="1" x14ac:dyDescent="0.25">
      <c r="A15" s="3" t="s">
        <v>328</v>
      </c>
      <c r="B15" s="3" t="s">
        <v>72</v>
      </c>
      <c r="C15" s="5" t="s">
        <v>395</v>
      </c>
      <c r="D15" s="3" t="s">
        <v>34</v>
      </c>
      <c r="E15" s="3" t="s">
        <v>559</v>
      </c>
      <c r="F15" s="3" t="s">
        <v>496</v>
      </c>
      <c r="G15" s="3"/>
      <c r="H15" s="3">
        <v>141001</v>
      </c>
      <c r="I15" s="3" t="s">
        <v>466</v>
      </c>
      <c r="J15" s="3" t="s">
        <v>73</v>
      </c>
    </row>
    <row r="16" spans="1:11" customFormat="1" x14ac:dyDescent="0.25">
      <c r="A16" s="3" t="s">
        <v>329</v>
      </c>
      <c r="B16" s="3" t="s">
        <v>74</v>
      </c>
      <c r="C16" s="5" t="s">
        <v>396</v>
      </c>
      <c r="D16" s="3" t="s">
        <v>75</v>
      </c>
      <c r="E16" s="3" t="s">
        <v>589</v>
      </c>
      <c r="F16" s="3" t="s">
        <v>508</v>
      </c>
      <c r="G16" s="3" t="s">
        <v>593</v>
      </c>
      <c r="H16" s="3">
        <v>734005</v>
      </c>
      <c r="I16" s="3" t="s">
        <v>451</v>
      </c>
      <c r="J16" s="3" t="s">
        <v>77</v>
      </c>
    </row>
    <row r="17" spans="1:11" customFormat="1" x14ac:dyDescent="0.25">
      <c r="A17" s="3" t="s">
        <v>17</v>
      </c>
      <c r="B17" s="3" t="s">
        <v>78</v>
      </c>
      <c r="C17" s="5" t="s">
        <v>397</v>
      </c>
      <c r="D17" s="3" t="s">
        <v>30</v>
      </c>
      <c r="E17" s="3" t="s">
        <v>565</v>
      </c>
      <c r="F17" s="3" t="s">
        <v>498</v>
      </c>
      <c r="G17" s="3"/>
      <c r="H17" s="3">
        <v>302015</v>
      </c>
      <c r="I17" s="3" t="s">
        <v>467</v>
      </c>
      <c r="J17" s="3" t="s">
        <v>79</v>
      </c>
      <c r="K17" t="s">
        <v>80</v>
      </c>
    </row>
    <row r="18" spans="1:11" customFormat="1" x14ac:dyDescent="0.25">
      <c r="A18" s="3" t="s">
        <v>330</v>
      </c>
      <c r="B18" s="3" t="s">
        <v>81</v>
      </c>
      <c r="C18" s="5" t="s">
        <v>398</v>
      </c>
      <c r="D18" s="3" t="s">
        <v>43</v>
      </c>
      <c r="E18" s="3" t="s">
        <v>519</v>
      </c>
      <c r="F18" s="3" t="s">
        <v>478</v>
      </c>
      <c r="G18" s="3"/>
      <c r="H18" s="3">
        <v>380051</v>
      </c>
      <c r="I18" s="3" t="s">
        <v>457</v>
      </c>
      <c r="J18" s="3" t="s">
        <v>82</v>
      </c>
      <c r="K18" t="s">
        <v>83</v>
      </c>
    </row>
    <row r="19" spans="1:11" customFormat="1" x14ac:dyDescent="0.25">
      <c r="A19" s="3" t="s">
        <v>331</v>
      </c>
      <c r="B19" s="3" t="s">
        <v>84</v>
      </c>
      <c r="C19" s="5" t="s">
        <v>399</v>
      </c>
      <c r="D19" s="3" t="s">
        <v>34</v>
      </c>
      <c r="E19" s="3" t="s">
        <v>594</v>
      </c>
      <c r="F19" s="3" t="s">
        <v>488</v>
      </c>
      <c r="G19" s="3"/>
      <c r="H19" s="3">
        <v>411020</v>
      </c>
      <c r="I19" s="3" t="s">
        <v>456</v>
      </c>
      <c r="J19" s="3" t="s">
        <v>85</v>
      </c>
      <c r="K19" t="s">
        <v>86</v>
      </c>
    </row>
    <row r="20" spans="1:11" customFormat="1" x14ac:dyDescent="0.25">
      <c r="A20" s="3" t="s">
        <v>16</v>
      </c>
      <c r="B20" s="3" t="s">
        <v>87</v>
      </c>
      <c r="C20" s="5" t="s">
        <v>400</v>
      </c>
      <c r="D20" s="3" t="s">
        <v>66</v>
      </c>
      <c r="E20" s="3" t="s">
        <v>595</v>
      </c>
      <c r="F20" s="3" t="s">
        <v>498</v>
      </c>
      <c r="G20" s="3"/>
      <c r="H20" s="3">
        <v>302019</v>
      </c>
      <c r="I20" s="3" t="s">
        <v>467</v>
      </c>
      <c r="J20" s="3" t="s">
        <v>88</v>
      </c>
      <c r="K20" t="s">
        <v>89</v>
      </c>
    </row>
    <row r="21" spans="1:11" customFormat="1" x14ac:dyDescent="0.25">
      <c r="A21" s="3" t="s">
        <v>15</v>
      </c>
      <c r="B21" s="3" t="s">
        <v>90</v>
      </c>
      <c r="C21" s="5" t="s">
        <v>618</v>
      </c>
      <c r="D21" s="3" t="s">
        <v>91</v>
      </c>
      <c r="E21" s="3" t="s">
        <v>596</v>
      </c>
      <c r="F21" s="3" t="s">
        <v>471</v>
      </c>
      <c r="G21" s="3"/>
      <c r="H21" s="3">
        <v>695033</v>
      </c>
      <c r="I21" s="3" t="s">
        <v>449</v>
      </c>
      <c r="J21" s="3" t="s">
        <v>92</v>
      </c>
      <c r="K21" t="s">
        <v>93</v>
      </c>
    </row>
    <row r="22" spans="1:11" customFormat="1" x14ac:dyDescent="0.25">
      <c r="A22" s="3" t="s">
        <v>332</v>
      </c>
      <c r="B22" s="3" t="s">
        <v>94</v>
      </c>
      <c r="C22" s="5" t="s">
        <v>619</v>
      </c>
      <c r="D22" s="3" t="s">
        <v>95</v>
      </c>
      <c r="E22" s="3" t="s">
        <v>597</v>
      </c>
      <c r="F22" s="3" t="s">
        <v>508</v>
      </c>
      <c r="G22" s="3" t="s">
        <v>598</v>
      </c>
      <c r="H22" s="3">
        <v>734010</v>
      </c>
      <c r="I22" s="3" t="s">
        <v>451</v>
      </c>
      <c r="J22" s="3" t="s">
        <v>96</v>
      </c>
    </row>
    <row r="23" spans="1:11" customFormat="1" x14ac:dyDescent="0.25">
      <c r="A23" s="3" t="s">
        <v>333</v>
      </c>
      <c r="B23" s="3" t="s">
        <v>642</v>
      </c>
      <c r="C23" s="5" t="s">
        <v>620</v>
      </c>
      <c r="D23" s="3" t="s">
        <v>60</v>
      </c>
      <c r="E23" s="3" t="s">
        <v>537</v>
      </c>
      <c r="F23" s="3" t="s">
        <v>484</v>
      </c>
      <c r="G23" s="3"/>
      <c r="H23" s="3">
        <v>834009</v>
      </c>
      <c r="I23" s="3" t="s">
        <v>464</v>
      </c>
      <c r="J23" s="3" t="s">
        <v>97</v>
      </c>
      <c r="K23" t="s">
        <v>98</v>
      </c>
    </row>
    <row r="24" spans="1:11" customFormat="1" x14ac:dyDescent="0.25">
      <c r="A24" s="3" t="s">
        <v>334</v>
      </c>
      <c r="B24" s="3" t="s">
        <v>99</v>
      </c>
      <c r="C24" s="5" t="s">
        <v>621</v>
      </c>
      <c r="D24" s="3" t="s">
        <v>100</v>
      </c>
      <c r="E24" s="3" t="s">
        <v>543</v>
      </c>
      <c r="F24" s="3" t="s">
        <v>487</v>
      </c>
      <c r="G24" s="3"/>
      <c r="H24" s="3">
        <v>400062</v>
      </c>
      <c r="I24" s="3" t="s">
        <v>456</v>
      </c>
      <c r="J24" s="3" t="s">
        <v>101</v>
      </c>
      <c r="K24" t="s">
        <v>102</v>
      </c>
    </row>
    <row r="25" spans="1:11" customFormat="1" x14ac:dyDescent="0.25">
      <c r="A25" s="3" t="s">
        <v>335</v>
      </c>
      <c r="B25" s="3" t="s">
        <v>103</v>
      </c>
      <c r="C25" s="5" t="s">
        <v>401</v>
      </c>
      <c r="D25" s="3" t="s">
        <v>34</v>
      </c>
      <c r="E25" s="3" t="s">
        <v>553</v>
      </c>
      <c r="F25" s="3" t="s">
        <v>492</v>
      </c>
      <c r="G25" s="3"/>
      <c r="H25" s="3">
        <v>793008</v>
      </c>
      <c r="I25" s="3" t="s">
        <v>465</v>
      </c>
      <c r="J25" s="3" t="s">
        <v>104</v>
      </c>
    </row>
    <row r="26" spans="1:11" customFormat="1" x14ac:dyDescent="0.25">
      <c r="A26" s="3" t="s">
        <v>336</v>
      </c>
      <c r="B26" s="3" t="s">
        <v>105</v>
      </c>
      <c r="C26" s="5" t="s">
        <v>622</v>
      </c>
      <c r="D26" s="3" t="s">
        <v>50</v>
      </c>
      <c r="E26" s="3" t="s">
        <v>599</v>
      </c>
      <c r="F26" s="3" t="s">
        <v>479</v>
      </c>
      <c r="G26" s="3"/>
      <c r="H26" s="3">
        <v>394210</v>
      </c>
      <c r="I26" s="3" t="s">
        <v>457</v>
      </c>
      <c r="J26" s="3" t="s">
        <v>106</v>
      </c>
      <c r="K26" t="s">
        <v>107</v>
      </c>
    </row>
    <row r="27" spans="1:11" customFormat="1" x14ac:dyDescent="0.25">
      <c r="A27" s="3" t="s">
        <v>337</v>
      </c>
      <c r="B27" s="3" t="s">
        <v>108</v>
      </c>
      <c r="C27" s="5" t="s">
        <v>402</v>
      </c>
      <c r="D27" s="3" t="s">
        <v>50</v>
      </c>
      <c r="E27" s="3" t="s">
        <v>546</v>
      </c>
      <c r="F27" s="3" t="s">
        <v>489</v>
      </c>
      <c r="G27" s="3"/>
      <c r="H27" s="3">
        <v>422010</v>
      </c>
      <c r="I27" s="3" t="s">
        <v>456</v>
      </c>
      <c r="J27" s="3" t="s">
        <v>109</v>
      </c>
      <c r="K27" t="s">
        <v>110</v>
      </c>
    </row>
    <row r="28" spans="1:11" customFormat="1" x14ac:dyDescent="0.25">
      <c r="A28" s="3" t="s">
        <v>338</v>
      </c>
      <c r="B28" s="3" t="s">
        <v>111</v>
      </c>
      <c r="C28" s="5" t="s">
        <v>623</v>
      </c>
      <c r="D28" s="3" t="s">
        <v>30</v>
      </c>
      <c r="E28" s="3" t="s">
        <v>600</v>
      </c>
      <c r="F28" s="3" t="s">
        <v>502</v>
      </c>
      <c r="G28" s="3"/>
      <c r="H28" s="3">
        <v>506002</v>
      </c>
      <c r="I28" s="3" t="s">
        <v>459</v>
      </c>
      <c r="J28" s="3" t="s">
        <v>112</v>
      </c>
      <c r="K28" t="s">
        <v>113</v>
      </c>
    </row>
    <row r="29" spans="1:11" customFormat="1" x14ac:dyDescent="0.25">
      <c r="A29" s="3" t="s">
        <v>339</v>
      </c>
      <c r="B29" s="3" t="s">
        <v>114</v>
      </c>
      <c r="C29" s="5" t="s">
        <v>403</v>
      </c>
      <c r="D29" s="3" t="s">
        <v>91</v>
      </c>
      <c r="E29" s="3" t="s">
        <v>556</v>
      </c>
      <c r="F29" s="3" t="s">
        <v>494</v>
      </c>
      <c r="G29" s="3"/>
      <c r="H29" s="3">
        <v>751005</v>
      </c>
      <c r="I29" s="3" t="s">
        <v>463</v>
      </c>
      <c r="J29" s="3" t="s">
        <v>115</v>
      </c>
      <c r="K29" t="s">
        <v>116</v>
      </c>
    </row>
    <row r="30" spans="1:11" customFormat="1" x14ac:dyDescent="0.25">
      <c r="A30" s="3" t="s">
        <v>340</v>
      </c>
      <c r="B30" s="3" t="s">
        <v>117</v>
      </c>
      <c r="C30" s="5" t="s">
        <v>404</v>
      </c>
      <c r="D30" s="3" t="s">
        <v>50</v>
      </c>
      <c r="E30" s="3" t="s">
        <v>535</v>
      </c>
      <c r="F30" s="3" t="s">
        <v>483</v>
      </c>
      <c r="G30" s="3"/>
      <c r="H30" s="3">
        <v>828104</v>
      </c>
      <c r="I30" s="3" t="s">
        <v>464</v>
      </c>
      <c r="J30" s="3" t="s">
        <v>118</v>
      </c>
      <c r="K30" t="s">
        <v>119</v>
      </c>
    </row>
    <row r="31" spans="1:11" customFormat="1" x14ac:dyDescent="0.25">
      <c r="A31" s="3" t="s">
        <v>341</v>
      </c>
      <c r="B31" s="3" t="s">
        <v>120</v>
      </c>
      <c r="C31" s="5" t="s">
        <v>405</v>
      </c>
      <c r="D31" s="3" t="s">
        <v>91</v>
      </c>
      <c r="E31" s="3" t="s">
        <v>539</v>
      </c>
      <c r="F31" s="3" t="s">
        <v>485</v>
      </c>
      <c r="G31" s="3"/>
      <c r="H31" s="3">
        <v>831013</v>
      </c>
      <c r="I31" s="3" t="s">
        <v>464</v>
      </c>
      <c r="J31" s="3" t="s">
        <v>121</v>
      </c>
    </row>
    <row r="32" spans="1:11" customFormat="1" x14ac:dyDescent="0.25">
      <c r="A32" s="3" t="s">
        <v>342</v>
      </c>
      <c r="B32" s="3" t="s">
        <v>122</v>
      </c>
      <c r="C32" s="5" t="s">
        <v>624</v>
      </c>
      <c r="D32" s="3" t="s">
        <v>75</v>
      </c>
      <c r="E32" s="3" t="s">
        <v>585</v>
      </c>
      <c r="F32" s="3" t="s">
        <v>474</v>
      </c>
      <c r="G32" s="3" t="s">
        <v>76</v>
      </c>
      <c r="H32" s="3">
        <v>700156</v>
      </c>
      <c r="I32" s="3" t="s">
        <v>451</v>
      </c>
      <c r="J32" s="3" t="s">
        <v>123</v>
      </c>
    </row>
    <row r="33" spans="1:11" customFormat="1" x14ac:dyDescent="0.25">
      <c r="A33" s="3" t="s">
        <v>343</v>
      </c>
      <c r="B33" s="3" t="s">
        <v>124</v>
      </c>
      <c r="C33" s="5" t="s">
        <v>406</v>
      </c>
      <c r="D33" s="3" t="s">
        <v>50</v>
      </c>
      <c r="E33" s="3" t="s">
        <v>579</v>
      </c>
      <c r="F33" s="3" t="s">
        <v>506</v>
      </c>
      <c r="G33" s="3" t="s">
        <v>125</v>
      </c>
      <c r="H33" s="3">
        <v>211011</v>
      </c>
      <c r="I33" s="3" t="s">
        <v>468</v>
      </c>
      <c r="J33" s="3" t="s">
        <v>126</v>
      </c>
    </row>
    <row r="34" spans="1:11" customFormat="1" x14ac:dyDescent="0.25">
      <c r="A34" s="3" t="s">
        <v>344</v>
      </c>
      <c r="B34" s="3" t="s">
        <v>127</v>
      </c>
      <c r="C34" s="5" t="s">
        <v>407</v>
      </c>
      <c r="D34" s="3" t="s">
        <v>34</v>
      </c>
      <c r="E34" s="3" t="s">
        <v>528</v>
      </c>
      <c r="F34" s="3" t="s">
        <v>482</v>
      </c>
      <c r="G34" s="3" t="s">
        <v>531</v>
      </c>
      <c r="H34" s="3">
        <v>122004</v>
      </c>
      <c r="I34" s="3" t="s">
        <v>469</v>
      </c>
      <c r="J34" s="3" t="s">
        <v>128</v>
      </c>
      <c r="K34" t="s">
        <v>129</v>
      </c>
    </row>
    <row r="35" spans="1:11" customFormat="1" x14ac:dyDescent="0.25">
      <c r="A35" s="3" t="s">
        <v>345</v>
      </c>
      <c r="B35" s="3" t="s">
        <v>130</v>
      </c>
      <c r="C35" s="5" t="s">
        <v>408</v>
      </c>
      <c r="D35" s="3" t="s">
        <v>60</v>
      </c>
      <c r="E35" s="3" t="s">
        <v>601</v>
      </c>
      <c r="F35" s="3" t="s">
        <v>474</v>
      </c>
      <c r="G35" s="3" t="s">
        <v>131</v>
      </c>
      <c r="H35" s="3">
        <v>700017</v>
      </c>
      <c r="I35" s="3" t="s">
        <v>451</v>
      </c>
      <c r="J35" s="3" t="s">
        <v>132</v>
      </c>
      <c r="K35" t="s">
        <v>133</v>
      </c>
    </row>
    <row r="36" spans="1:11" customFormat="1" x14ac:dyDescent="0.25">
      <c r="A36" s="3" t="s">
        <v>346</v>
      </c>
      <c r="B36" s="3" t="s">
        <v>134</v>
      </c>
      <c r="C36" s="5" t="s">
        <v>409</v>
      </c>
      <c r="D36" s="3" t="s">
        <v>30</v>
      </c>
      <c r="E36" s="3" t="s">
        <v>530</v>
      </c>
      <c r="F36" s="3" t="s">
        <v>482</v>
      </c>
      <c r="G36" s="3" t="s">
        <v>533</v>
      </c>
      <c r="H36" s="3">
        <v>122505</v>
      </c>
      <c r="I36" s="3" t="s">
        <v>469</v>
      </c>
      <c r="J36" s="3" t="s">
        <v>135</v>
      </c>
      <c r="K36" t="s">
        <v>136</v>
      </c>
    </row>
    <row r="37" spans="1:11" customFormat="1" x14ac:dyDescent="0.25">
      <c r="A37" s="3" t="s">
        <v>347</v>
      </c>
      <c r="B37" s="3" t="s">
        <v>137</v>
      </c>
      <c r="C37" s="5" t="s">
        <v>410</v>
      </c>
      <c r="D37" s="3" t="s">
        <v>30</v>
      </c>
      <c r="E37" s="3" t="s">
        <v>578</v>
      </c>
      <c r="F37" s="3" t="s">
        <v>506</v>
      </c>
      <c r="G37" s="3" t="s">
        <v>125</v>
      </c>
      <c r="H37" s="3">
        <v>211002</v>
      </c>
      <c r="I37" s="3" t="s">
        <v>468</v>
      </c>
      <c r="J37" s="3" t="s">
        <v>138</v>
      </c>
      <c r="K37" t="s">
        <v>139</v>
      </c>
    </row>
    <row r="38" spans="1:11" customFormat="1" x14ac:dyDescent="0.25">
      <c r="A38" s="3" t="s">
        <v>348</v>
      </c>
      <c r="B38" s="3" t="s">
        <v>140</v>
      </c>
      <c r="C38" s="5" t="s">
        <v>411</v>
      </c>
      <c r="D38" s="3" t="s">
        <v>75</v>
      </c>
      <c r="E38" s="3" t="s">
        <v>540</v>
      </c>
      <c r="F38" s="3" t="s">
        <v>486</v>
      </c>
      <c r="G38" s="3" t="s">
        <v>541</v>
      </c>
      <c r="H38" s="3">
        <v>560001</v>
      </c>
      <c r="I38" s="3" t="s">
        <v>458</v>
      </c>
      <c r="J38" s="3" t="s">
        <v>141</v>
      </c>
      <c r="K38" t="s">
        <v>142</v>
      </c>
    </row>
    <row r="39" spans="1:11" customFormat="1" x14ac:dyDescent="0.25">
      <c r="A39" s="3" t="s">
        <v>14</v>
      </c>
      <c r="B39" s="3" t="s">
        <v>143</v>
      </c>
      <c r="C39" s="5" t="s">
        <v>412</v>
      </c>
      <c r="D39" s="3" t="s">
        <v>50</v>
      </c>
      <c r="E39" s="3" t="s">
        <v>561</v>
      </c>
      <c r="F39" s="3" t="s">
        <v>499</v>
      </c>
      <c r="G39" s="3"/>
      <c r="H39" s="3">
        <v>342008</v>
      </c>
      <c r="I39" s="3" t="s">
        <v>467</v>
      </c>
      <c r="J39" s="3" t="s">
        <v>144</v>
      </c>
    </row>
    <row r="40" spans="1:11" customFormat="1" x14ac:dyDescent="0.25">
      <c r="A40" s="3" t="s">
        <v>349</v>
      </c>
      <c r="B40" s="3" t="s">
        <v>145</v>
      </c>
      <c r="C40" s="5" t="s">
        <v>413</v>
      </c>
      <c r="D40" s="3" t="s">
        <v>75</v>
      </c>
      <c r="E40" s="3" t="s">
        <v>521</v>
      </c>
      <c r="F40" s="3" t="s">
        <v>478</v>
      </c>
      <c r="G40" s="3"/>
      <c r="H40" s="3">
        <v>380060</v>
      </c>
      <c r="I40" s="3" t="s">
        <v>457</v>
      </c>
      <c r="J40" s="3" t="s">
        <v>146</v>
      </c>
    </row>
    <row r="41" spans="1:11" customFormat="1" x14ac:dyDescent="0.25">
      <c r="A41" s="3" t="s">
        <v>350</v>
      </c>
      <c r="B41" s="3" t="s">
        <v>147</v>
      </c>
      <c r="C41" s="5" t="s">
        <v>414</v>
      </c>
      <c r="D41" s="3" t="s">
        <v>30</v>
      </c>
      <c r="E41" s="3" t="s">
        <v>552</v>
      </c>
      <c r="F41" s="3" t="s">
        <v>487</v>
      </c>
      <c r="G41" s="3"/>
      <c r="H41" s="3">
        <v>400083</v>
      </c>
      <c r="I41" s="3" t="s">
        <v>456</v>
      </c>
      <c r="J41" s="3" t="s">
        <v>148</v>
      </c>
      <c r="K41" t="s">
        <v>149</v>
      </c>
    </row>
    <row r="42" spans="1:11" customFormat="1" x14ac:dyDescent="0.25">
      <c r="A42" s="3" t="s">
        <v>351</v>
      </c>
      <c r="B42" s="3" t="s">
        <v>150</v>
      </c>
      <c r="C42" s="5" t="s">
        <v>415</v>
      </c>
      <c r="D42" s="3" t="s">
        <v>91</v>
      </c>
      <c r="E42" s="3" t="s">
        <v>551</v>
      </c>
      <c r="F42" s="3" t="s">
        <v>487</v>
      </c>
      <c r="G42" s="3"/>
      <c r="H42" s="3">
        <v>400703</v>
      </c>
      <c r="I42" s="3" t="s">
        <v>456</v>
      </c>
      <c r="J42" s="3" t="s">
        <v>151</v>
      </c>
      <c r="K42" t="s">
        <v>152</v>
      </c>
    </row>
    <row r="43" spans="1:11" customFormat="1" x14ac:dyDescent="0.25">
      <c r="A43" s="3" t="s">
        <v>352</v>
      </c>
      <c r="B43" s="3" t="s">
        <v>153</v>
      </c>
      <c r="C43" s="5" t="s">
        <v>416</v>
      </c>
      <c r="D43" s="3" t="s">
        <v>95</v>
      </c>
      <c r="E43" s="3" t="s">
        <v>514</v>
      </c>
      <c r="F43" s="3" t="s">
        <v>476</v>
      </c>
      <c r="G43" s="3" t="s">
        <v>515</v>
      </c>
      <c r="H43" s="3">
        <v>492001</v>
      </c>
      <c r="I43" s="3" t="s">
        <v>452</v>
      </c>
      <c r="J43" s="3" t="s">
        <v>154</v>
      </c>
      <c r="K43" t="s">
        <v>155</v>
      </c>
    </row>
    <row r="44" spans="1:11" customFormat="1" x14ac:dyDescent="0.25">
      <c r="A44" s="3" t="s">
        <v>353</v>
      </c>
      <c r="B44" s="3" t="s">
        <v>156</v>
      </c>
      <c r="C44" s="5" t="s">
        <v>417</v>
      </c>
      <c r="D44" s="3" t="s">
        <v>50</v>
      </c>
      <c r="E44" s="3" t="s">
        <v>584</v>
      </c>
      <c r="F44" s="3" t="s">
        <v>507</v>
      </c>
      <c r="G44" s="3" t="s">
        <v>157</v>
      </c>
      <c r="H44" s="3">
        <v>282007</v>
      </c>
      <c r="I44" s="3" t="s">
        <v>468</v>
      </c>
      <c r="J44" s="3" t="s">
        <v>158</v>
      </c>
      <c r="K44" t="s">
        <v>159</v>
      </c>
    </row>
    <row r="45" spans="1:11" customFormat="1" x14ac:dyDescent="0.25">
      <c r="A45" s="3" t="s">
        <v>354</v>
      </c>
      <c r="B45" s="3" t="s">
        <v>160</v>
      </c>
      <c r="C45" s="5" t="s">
        <v>418</v>
      </c>
      <c r="D45" s="3" t="s">
        <v>30</v>
      </c>
      <c r="E45" s="3" t="s">
        <v>602</v>
      </c>
      <c r="F45" s="3" t="s">
        <v>478</v>
      </c>
      <c r="G45" s="3"/>
      <c r="H45" s="3">
        <v>380024</v>
      </c>
      <c r="I45" s="3" t="s">
        <v>457</v>
      </c>
      <c r="J45" s="3" t="s">
        <v>161</v>
      </c>
      <c r="K45" t="s">
        <v>162</v>
      </c>
    </row>
    <row r="46" spans="1:11" customFormat="1" x14ac:dyDescent="0.25">
      <c r="A46" s="3" t="s">
        <v>13</v>
      </c>
      <c r="B46" s="3" t="s">
        <v>163</v>
      </c>
      <c r="C46" s="5" t="s">
        <v>625</v>
      </c>
      <c r="D46" s="3" t="s">
        <v>34</v>
      </c>
      <c r="E46" s="3" t="s">
        <v>583</v>
      </c>
      <c r="F46" s="3" t="s">
        <v>507</v>
      </c>
      <c r="G46" s="3" t="s">
        <v>164</v>
      </c>
      <c r="H46" s="3">
        <v>282002</v>
      </c>
      <c r="I46" s="3" t="s">
        <v>468</v>
      </c>
      <c r="J46" s="3" t="s">
        <v>165</v>
      </c>
    </row>
    <row r="47" spans="1:11" customFormat="1" x14ac:dyDescent="0.25">
      <c r="A47" s="3" t="s">
        <v>355</v>
      </c>
      <c r="B47" s="3" t="s">
        <v>166</v>
      </c>
      <c r="C47" s="5" t="s">
        <v>626</v>
      </c>
      <c r="D47" s="3" t="s">
        <v>60</v>
      </c>
      <c r="E47" s="3" t="s">
        <v>527</v>
      </c>
      <c r="F47" s="3" t="s">
        <v>481</v>
      </c>
      <c r="G47" s="3" t="s">
        <v>534</v>
      </c>
      <c r="H47" s="3">
        <v>121002</v>
      </c>
      <c r="I47" s="3" t="s">
        <v>469</v>
      </c>
      <c r="J47" s="3" t="s">
        <v>167</v>
      </c>
      <c r="K47" t="s">
        <v>168</v>
      </c>
    </row>
    <row r="48" spans="1:11" customFormat="1" x14ac:dyDescent="0.25">
      <c r="A48" s="3" t="s">
        <v>356</v>
      </c>
      <c r="B48" s="3" t="s">
        <v>169</v>
      </c>
      <c r="C48" s="5" t="s">
        <v>627</v>
      </c>
      <c r="D48" s="3" t="s">
        <v>34</v>
      </c>
      <c r="E48" s="3" t="s">
        <v>529</v>
      </c>
      <c r="F48" s="3" t="s">
        <v>482</v>
      </c>
      <c r="G48" s="3" t="s">
        <v>532</v>
      </c>
      <c r="H48" s="3">
        <v>122017</v>
      </c>
      <c r="I48" s="3" t="s">
        <v>469</v>
      </c>
      <c r="J48" s="3" t="s">
        <v>170</v>
      </c>
      <c r="K48" t="s">
        <v>171</v>
      </c>
    </row>
    <row r="49" spans="1:11" customFormat="1" x14ac:dyDescent="0.25">
      <c r="A49" s="3" t="s">
        <v>357</v>
      </c>
      <c r="B49" s="3" t="s">
        <v>172</v>
      </c>
      <c r="C49" s="5" t="s">
        <v>628</v>
      </c>
      <c r="D49" s="3" t="s">
        <v>91</v>
      </c>
      <c r="E49" s="3" t="s">
        <v>603</v>
      </c>
      <c r="F49" s="3" t="s">
        <v>506</v>
      </c>
      <c r="G49" s="3" t="s">
        <v>125</v>
      </c>
      <c r="H49" s="3">
        <v>211012</v>
      </c>
      <c r="I49" s="3" t="s">
        <v>468</v>
      </c>
      <c r="J49" s="3" t="s">
        <v>173</v>
      </c>
      <c r="K49" t="s">
        <v>174</v>
      </c>
    </row>
    <row r="50" spans="1:11" customFormat="1" x14ac:dyDescent="0.25">
      <c r="A50" s="3" t="s">
        <v>358</v>
      </c>
      <c r="B50" s="3" t="s">
        <v>175</v>
      </c>
      <c r="C50" s="5" t="s">
        <v>419</v>
      </c>
      <c r="D50" s="3" t="s">
        <v>50</v>
      </c>
      <c r="E50" s="3" t="s">
        <v>604</v>
      </c>
      <c r="F50" s="3" t="s">
        <v>501</v>
      </c>
      <c r="G50" s="3"/>
      <c r="H50" s="3">
        <v>500058</v>
      </c>
      <c r="I50" s="3" t="s">
        <v>459</v>
      </c>
      <c r="J50" s="3" t="s">
        <v>176</v>
      </c>
      <c r="K50" t="s">
        <v>177</v>
      </c>
    </row>
    <row r="51" spans="1:11" customFormat="1" x14ac:dyDescent="0.25">
      <c r="A51" s="3" t="s">
        <v>12</v>
      </c>
      <c r="B51" s="3" t="s">
        <v>178</v>
      </c>
      <c r="C51" s="5" t="s">
        <v>420</v>
      </c>
      <c r="D51" s="3" t="s">
        <v>66</v>
      </c>
      <c r="E51" s="3" t="s">
        <v>511</v>
      </c>
      <c r="F51" s="3" t="s">
        <v>473</v>
      </c>
      <c r="G51" s="3"/>
      <c r="H51" s="3">
        <v>800013</v>
      </c>
      <c r="I51" s="3" t="s">
        <v>450</v>
      </c>
      <c r="J51" s="3" t="s">
        <v>179</v>
      </c>
      <c r="K51" t="s">
        <v>180</v>
      </c>
    </row>
    <row r="52" spans="1:11" customFormat="1" x14ac:dyDescent="0.25">
      <c r="A52" s="3" t="s">
        <v>359</v>
      </c>
      <c r="B52" s="3" t="s">
        <v>181</v>
      </c>
      <c r="C52" s="5" t="s">
        <v>421</v>
      </c>
      <c r="D52" s="3" t="s">
        <v>95</v>
      </c>
      <c r="E52" s="3" t="s">
        <v>512</v>
      </c>
      <c r="F52" s="3" t="s">
        <v>476</v>
      </c>
      <c r="G52" s="3" t="s">
        <v>513</v>
      </c>
      <c r="H52" s="3">
        <v>492015</v>
      </c>
      <c r="I52" s="3" t="s">
        <v>452</v>
      </c>
      <c r="J52" s="3" t="s">
        <v>182</v>
      </c>
      <c r="K52" t="s">
        <v>183</v>
      </c>
    </row>
    <row r="53" spans="1:11" customFormat="1" x14ac:dyDescent="0.25">
      <c r="A53" s="3" t="s">
        <v>360</v>
      </c>
      <c r="B53" s="3" t="s">
        <v>184</v>
      </c>
      <c r="C53" s="5" t="s">
        <v>422</v>
      </c>
      <c r="D53" s="3" t="s">
        <v>95</v>
      </c>
      <c r="E53" s="3" t="s">
        <v>605</v>
      </c>
      <c r="F53" s="3" t="s">
        <v>479</v>
      </c>
      <c r="G53" s="3"/>
      <c r="H53" s="3">
        <v>395011</v>
      </c>
      <c r="I53" s="3" t="s">
        <v>457</v>
      </c>
      <c r="J53" s="3" t="s">
        <v>185</v>
      </c>
    </row>
    <row r="54" spans="1:11" customFormat="1" x14ac:dyDescent="0.25">
      <c r="A54" s="3" t="s">
        <v>361</v>
      </c>
      <c r="B54" s="3" t="s">
        <v>186</v>
      </c>
      <c r="C54" s="5" t="s">
        <v>423</v>
      </c>
      <c r="D54" s="3" t="s">
        <v>75</v>
      </c>
      <c r="E54" s="3" t="s">
        <v>566</v>
      </c>
      <c r="F54" s="3" t="s">
        <v>498</v>
      </c>
      <c r="G54" s="3"/>
      <c r="H54" s="3">
        <v>302019</v>
      </c>
      <c r="I54" s="3" t="s">
        <v>467</v>
      </c>
      <c r="J54" s="3" t="s">
        <v>187</v>
      </c>
      <c r="K54" t="s">
        <v>188</v>
      </c>
    </row>
    <row r="55" spans="1:11" customFormat="1" x14ac:dyDescent="0.25">
      <c r="A55" s="3" t="s">
        <v>362</v>
      </c>
      <c r="B55" s="3" t="s">
        <v>189</v>
      </c>
      <c r="C55" s="5" t="s">
        <v>629</v>
      </c>
      <c r="D55" s="3" t="s">
        <v>66</v>
      </c>
      <c r="E55" s="3" t="s">
        <v>510</v>
      </c>
      <c r="F55" s="3" t="s">
        <v>470</v>
      </c>
      <c r="G55" s="3"/>
      <c r="H55" s="3">
        <v>781005</v>
      </c>
      <c r="I55" s="3" t="s">
        <v>448</v>
      </c>
      <c r="J55" s="3" t="s">
        <v>190</v>
      </c>
      <c r="K55" t="s">
        <v>191</v>
      </c>
    </row>
    <row r="56" spans="1:11" customFormat="1" x14ac:dyDescent="0.25">
      <c r="A56" s="3" t="s">
        <v>363</v>
      </c>
      <c r="B56" s="3" t="s">
        <v>192</v>
      </c>
      <c r="C56" s="5" t="s">
        <v>630</v>
      </c>
      <c r="D56" s="3" t="s">
        <v>30</v>
      </c>
      <c r="E56" s="3" t="s">
        <v>576</v>
      </c>
      <c r="F56" s="3" t="s">
        <v>505</v>
      </c>
      <c r="G56" s="3" t="s">
        <v>193</v>
      </c>
      <c r="H56" s="3">
        <v>226005</v>
      </c>
      <c r="I56" s="3" t="s">
        <v>468</v>
      </c>
      <c r="J56" s="3" t="s">
        <v>194</v>
      </c>
      <c r="K56" t="s">
        <v>195</v>
      </c>
    </row>
    <row r="57" spans="1:11" customFormat="1" x14ac:dyDescent="0.25">
      <c r="A57" s="3" t="s">
        <v>364</v>
      </c>
      <c r="B57" s="3" t="s">
        <v>196</v>
      </c>
      <c r="C57" s="5" t="s">
        <v>631</v>
      </c>
      <c r="D57" s="3" t="s">
        <v>34</v>
      </c>
      <c r="E57" s="3" t="s">
        <v>523</v>
      </c>
      <c r="F57" s="3" t="s">
        <v>479</v>
      </c>
      <c r="G57" s="3"/>
      <c r="H57" s="3">
        <v>395002</v>
      </c>
      <c r="I57" s="3" t="s">
        <v>457</v>
      </c>
      <c r="J57" s="3" t="s">
        <v>197</v>
      </c>
      <c r="K57" t="s">
        <v>198</v>
      </c>
    </row>
    <row r="58" spans="1:11" customFormat="1" x14ac:dyDescent="0.25">
      <c r="A58" s="3" t="s">
        <v>365</v>
      </c>
      <c r="B58" s="3" t="s">
        <v>199</v>
      </c>
      <c r="C58" s="5" t="s">
        <v>424</v>
      </c>
      <c r="D58" s="3" t="s">
        <v>34</v>
      </c>
      <c r="E58" s="3" t="s">
        <v>547</v>
      </c>
      <c r="F58" s="3" t="s">
        <v>489</v>
      </c>
      <c r="G58" s="3"/>
      <c r="H58" s="3">
        <v>422003</v>
      </c>
      <c r="I58" s="3" t="s">
        <v>456</v>
      </c>
      <c r="J58" s="3" t="s">
        <v>200</v>
      </c>
      <c r="K58" t="s">
        <v>201</v>
      </c>
    </row>
    <row r="59" spans="1:11" customFormat="1" x14ac:dyDescent="0.25">
      <c r="A59" s="3" t="s">
        <v>11</v>
      </c>
      <c r="B59" s="3" t="s">
        <v>202</v>
      </c>
      <c r="C59" s="5" t="s">
        <v>425</v>
      </c>
      <c r="D59" s="3" t="s">
        <v>30</v>
      </c>
      <c r="E59" s="3" t="s">
        <v>570</v>
      </c>
      <c r="F59" s="3" t="s">
        <v>500</v>
      </c>
      <c r="G59" s="3"/>
      <c r="H59" s="3">
        <v>600099</v>
      </c>
      <c r="I59" s="3" t="s">
        <v>460</v>
      </c>
      <c r="J59" s="3" t="s">
        <v>203</v>
      </c>
      <c r="K59" t="s">
        <v>204</v>
      </c>
    </row>
    <row r="60" spans="1:11" customFormat="1" x14ac:dyDescent="0.25">
      <c r="A60" s="3" t="s">
        <v>366</v>
      </c>
      <c r="B60" s="3" t="s">
        <v>205</v>
      </c>
      <c r="C60" s="5" t="s">
        <v>426</v>
      </c>
      <c r="D60" s="3" t="s">
        <v>91</v>
      </c>
      <c r="E60" s="3" t="s">
        <v>542</v>
      </c>
      <c r="F60" s="3" t="s">
        <v>472</v>
      </c>
      <c r="G60" s="3"/>
      <c r="H60" s="3">
        <v>682031</v>
      </c>
      <c r="I60" s="3" t="s">
        <v>449</v>
      </c>
      <c r="J60" s="3" t="s">
        <v>206</v>
      </c>
      <c r="K60" t="s">
        <v>207</v>
      </c>
    </row>
    <row r="61" spans="1:11" customFormat="1" x14ac:dyDescent="0.25">
      <c r="A61" s="3" t="s">
        <v>367</v>
      </c>
      <c r="B61" s="3" t="s">
        <v>208</v>
      </c>
      <c r="C61" s="5" t="s">
        <v>632</v>
      </c>
      <c r="D61" s="3" t="s">
        <v>30</v>
      </c>
      <c r="E61" s="3" t="s">
        <v>557</v>
      </c>
      <c r="F61" s="3" t="s">
        <v>494</v>
      </c>
      <c r="G61" s="3"/>
      <c r="H61" s="3">
        <v>751019</v>
      </c>
      <c r="I61" s="3" t="s">
        <v>463</v>
      </c>
      <c r="J61" s="3" t="s">
        <v>209</v>
      </c>
    </row>
    <row r="62" spans="1:11" customFormat="1" x14ac:dyDescent="0.25">
      <c r="A62" s="3" t="s">
        <v>368</v>
      </c>
      <c r="B62" s="3" t="s">
        <v>210</v>
      </c>
      <c r="C62" s="5" t="s">
        <v>633</v>
      </c>
      <c r="D62" s="3" t="s">
        <v>60</v>
      </c>
      <c r="E62" s="3" t="s">
        <v>587</v>
      </c>
      <c r="F62" s="3" t="s">
        <v>474</v>
      </c>
      <c r="G62" s="3" t="s">
        <v>131</v>
      </c>
      <c r="H62" s="3">
        <v>700094</v>
      </c>
      <c r="I62" s="3" t="s">
        <v>451</v>
      </c>
      <c r="J62" s="3" t="s">
        <v>211</v>
      </c>
      <c r="K62" t="s">
        <v>212</v>
      </c>
    </row>
    <row r="63" spans="1:11" customFormat="1" x14ac:dyDescent="0.25">
      <c r="A63" s="3" t="s">
        <v>369</v>
      </c>
      <c r="B63" s="3" t="s">
        <v>213</v>
      </c>
      <c r="C63" s="5" t="s">
        <v>427</v>
      </c>
      <c r="D63" s="3" t="s">
        <v>95</v>
      </c>
      <c r="E63" s="3" t="s">
        <v>590</v>
      </c>
      <c r="F63" s="3" t="s">
        <v>475</v>
      </c>
      <c r="G63" s="3" t="s">
        <v>76</v>
      </c>
      <c r="H63" s="3">
        <v>713216</v>
      </c>
      <c r="I63" s="3" t="s">
        <v>451</v>
      </c>
      <c r="J63" s="3" t="s">
        <v>214</v>
      </c>
    </row>
    <row r="64" spans="1:11" customFormat="1" x14ac:dyDescent="0.25">
      <c r="A64" s="3" t="s">
        <v>10</v>
      </c>
      <c r="B64" s="3" t="s">
        <v>215</v>
      </c>
      <c r="C64" s="5" t="s">
        <v>428</v>
      </c>
      <c r="D64" s="3" t="s">
        <v>60</v>
      </c>
      <c r="E64" s="3" t="s">
        <v>522</v>
      </c>
      <c r="F64" s="3" t="s">
        <v>478</v>
      </c>
      <c r="G64" s="3"/>
      <c r="H64" s="3">
        <v>382421</v>
      </c>
      <c r="I64" s="3" t="s">
        <v>457</v>
      </c>
      <c r="J64" s="3" t="s">
        <v>216</v>
      </c>
    </row>
    <row r="65" spans="1:11" customFormat="1" x14ac:dyDescent="0.25">
      <c r="A65" s="3" t="s">
        <v>9</v>
      </c>
      <c r="B65" s="3" t="s">
        <v>217</v>
      </c>
      <c r="C65" s="5" t="s">
        <v>634</v>
      </c>
      <c r="D65" s="3" t="s">
        <v>30</v>
      </c>
      <c r="E65" s="3" t="s">
        <v>606</v>
      </c>
      <c r="F65" s="3" t="s">
        <v>470</v>
      </c>
      <c r="G65" s="3"/>
      <c r="H65" s="3">
        <v>781005</v>
      </c>
      <c r="I65" s="3" t="s">
        <v>448</v>
      </c>
      <c r="J65" s="3" t="s">
        <v>218</v>
      </c>
      <c r="K65" t="s">
        <v>219</v>
      </c>
    </row>
    <row r="66" spans="1:11" customFormat="1" x14ac:dyDescent="0.25">
      <c r="A66" s="3" t="s">
        <v>370</v>
      </c>
      <c r="B66" s="3" t="s">
        <v>220</v>
      </c>
      <c r="C66" s="5" t="s">
        <v>429</v>
      </c>
      <c r="D66" s="3" t="s">
        <v>221</v>
      </c>
      <c r="E66" s="3" t="s">
        <v>575</v>
      </c>
      <c r="F66" s="3" t="s">
        <v>505</v>
      </c>
      <c r="G66" s="3" t="s">
        <v>222</v>
      </c>
      <c r="H66" s="3">
        <v>226010</v>
      </c>
      <c r="I66" s="3" t="s">
        <v>468</v>
      </c>
      <c r="J66" s="3" t="s">
        <v>223</v>
      </c>
      <c r="K66" t="s">
        <v>224</v>
      </c>
    </row>
    <row r="67" spans="1:11" customFormat="1" x14ac:dyDescent="0.25">
      <c r="A67" s="3" t="s">
        <v>371</v>
      </c>
      <c r="B67" s="3" t="s">
        <v>225</v>
      </c>
      <c r="C67" s="5" t="s">
        <v>635</v>
      </c>
      <c r="D67" s="3" t="s">
        <v>75</v>
      </c>
      <c r="E67" s="3" t="s">
        <v>572</v>
      </c>
      <c r="F67" s="3" t="s">
        <v>501</v>
      </c>
      <c r="G67" s="3"/>
      <c r="H67" s="3">
        <v>500002</v>
      </c>
      <c r="I67" s="3" t="s">
        <v>459</v>
      </c>
      <c r="J67" s="3" t="s">
        <v>226</v>
      </c>
      <c r="K67" t="s">
        <v>227</v>
      </c>
    </row>
    <row r="68" spans="1:11" customFormat="1" x14ac:dyDescent="0.25">
      <c r="A68" s="3" t="s">
        <v>8</v>
      </c>
      <c r="B68" s="3" t="s">
        <v>228</v>
      </c>
      <c r="C68" s="5" t="s">
        <v>430</v>
      </c>
      <c r="D68" s="3" t="s">
        <v>100</v>
      </c>
      <c r="E68" s="3" t="s">
        <v>588</v>
      </c>
      <c r="F68" s="3" t="s">
        <v>508</v>
      </c>
      <c r="G68" s="3" t="s">
        <v>131</v>
      </c>
      <c r="H68" s="3">
        <v>734001</v>
      </c>
      <c r="I68" s="3" t="s">
        <v>451</v>
      </c>
      <c r="J68" s="3" t="s">
        <v>229</v>
      </c>
    </row>
    <row r="69" spans="1:11" customFormat="1" x14ac:dyDescent="0.25">
      <c r="A69" s="3" t="s">
        <v>7</v>
      </c>
      <c r="B69" s="3" t="s">
        <v>230</v>
      </c>
      <c r="C69" s="5" t="s">
        <v>636</v>
      </c>
      <c r="D69" s="3" t="s">
        <v>91</v>
      </c>
      <c r="E69" s="3" t="s">
        <v>560</v>
      </c>
      <c r="F69" s="3" t="s">
        <v>497</v>
      </c>
      <c r="G69" s="3"/>
      <c r="H69" s="3">
        <v>144002</v>
      </c>
      <c r="I69" s="3" t="s">
        <v>466</v>
      </c>
      <c r="J69" s="3" t="s">
        <v>231</v>
      </c>
    </row>
    <row r="70" spans="1:11" customFormat="1" x14ac:dyDescent="0.25">
      <c r="A70" s="3" t="s">
        <v>372</v>
      </c>
      <c r="B70" s="3" t="s">
        <v>232</v>
      </c>
      <c r="C70" s="5" t="s">
        <v>431</v>
      </c>
      <c r="D70" s="3" t="s">
        <v>60</v>
      </c>
      <c r="E70" s="3" t="s">
        <v>538</v>
      </c>
      <c r="F70" s="3" t="s">
        <v>484</v>
      </c>
      <c r="G70" s="3"/>
      <c r="H70" s="3">
        <v>834001</v>
      </c>
      <c r="I70" s="3" t="s">
        <v>464</v>
      </c>
      <c r="J70" s="3" t="s">
        <v>233</v>
      </c>
      <c r="K70" t="s">
        <v>234</v>
      </c>
    </row>
    <row r="71" spans="1:11" customFormat="1" x14ac:dyDescent="0.25">
      <c r="A71" s="3" t="s">
        <v>373</v>
      </c>
      <c r="B71" s="3" t="s">
        <v>235</v>
      </c>
      <c r="C71" s="5" t="s">
        <v>462</v>
      </c>
      <c r="D71" s="3" t="s">
        <v>34</v>
      </c>
      <c r="E71" s="3" t="s">
        <v>555</v>
      </c>
      <c r="F71" s="3" t="s">
        <v>493</v>
      </c>
      <c r="G71" s="3"/>
      <c r="H71" s="3">
        <v>796001</v>
      </c>
      <c r="I71" s="3" t="s">
        <v>461</v>
      </c>
      <c r="J71" s="3" t="s">
        <v>236</v>
      </c>
      <c r="K71" t="s">
        <v>237</v>
      </c>
    </row>
    <row r="72" spans="1:11" customFormat="1" x14ac:dyDescent="0.25">
      <c r="A72" s="3" t="s">
        <v>374</v>
      </c>
      <c r="B72" s="3" t="s">
        <v>238</v>
      </c>
      <c r="C72" s="5" t="s">
        <v>432</v>
      </c>
      <c r="D72" s="3" t="s">
        <v>30</v>
      </c>
      <c r="E72" s="3" t="s">
        <v>607</v>
      </c>
      <c r="F72" s="3" t="s">
        <v>505</v>
      </c>
      <c r="G72" s="3" t="s">
        <v>239</v>
      </c>
      <c r="H72" s="3">
        <v>226018</v>
      </c>
      <c r="I72" s="3" t="s">
        <v>468</v>
      </c>
      <c r="J72" s="3" t="s">
        <v>240</v>
      </c>
    </row>
    <row r="73" spans="1:11" customFormat="1" x14ac:dyDescent="0.25">
      <c r="A73" s="3" t="s">
        <v>6</v>
      </c>
      <c r="B73" s="3" t="s">
        <v>241</v>
      </c>
      <c r="C73" s="5" t="s">
        <v>433</v>
      </c>
      <c r="D73" s="3" t="s">
        <v>91</v>
      </c>
      <c r="E73" s="3" t="s">
        <v>608</v>
      </c>
      <c r="F73" s="3" t="s">
        <v>498</v>
      </c>
      <c r="G73" s="3"/>
      <c r="H73" s="3">
        <v>302019</v>
      </c>
      <c r="I73" s="3" t="s">
        <v>467</v>
      </c>
      <c r="J73" s="3" t="s">
        <v>242</v>
      </c>
      <c r="K73" t="s">
        <v>243</v>
      </c>
    </row>
    <row r="74" spans="1:11" customFormat="1" x14ac:dyDescent="0.25">
      <c r="A74" s="3" t="s">
        <v>5</v>
      </c>
      <c r="B74" s="3" t="s">
        <v>244</v>
      </c>
      <c r="C74" s="5" t="s">
        <v>434</v>
      </c>
      <c r="D74" s="3" t="s">
        <v>34</v>
      </c>
      <c r="E74" s="3" t="s">
        <v>518</v>
      </c>
      <c r="F74" s="3" t="s">
        <v>453</v>
      </c>
      <c r="G74" s="3"/>
      <c r="H74" s="3">
        <v>110034</v>
      </c>
      <c r="I74" s="3" t="s">
        <v>453</v>
      </c>
      <c r="J74" s="3" t="s">
        <v>245</v>
      </c>
      <c r="K74" t="s">
        <v>246</v>
      </c>
    </row>
    <row r="75" spans="1:11" customFormat="1" x14ac:dyDescent="0.25">
      <c r="A75" s="3" t="s">
        <v>375</v>
      </c>
      <c r="B75" s="3" t="s">
        <v>247</v>
      </c>
      <c r="C75" s="5" t="s">
        <v>435</v>
      </c>
      <c r="D75" s="3" t="s">
        <v>50</v>
      </c>
      <c r="E75" s="3" t="s">
        <v>548</v>
      </c>
      <c r="F75" s="3" t="s">
        <v>490</v>
      </c>
      <c r="G75" s="3"/>
      <c r="H75" s="3">
        <v>444602</v>
      </c>
      <c r="I75" s="3" t="s">
        <v>456</v>
      </c>
      <c r="J75" s="3" t="s">
        <v>248</v>
      </c>
      <c r="K75" t="s">
        <v>249</v>
      </c>
    </row>
    <row r="76" spans="1:11" customFormat="1" x14ac:dyDescent="0.25">
      <c r="A76" s="3" t="s">
        <v>376</v>
      </c>
      <c r="B76" s="3" t="s">
        <v>250</v>
      </c>
      <c r="C76" s="5" t="s">
        <v>436</v>
      </c>
      <c r="D76" s="3" t="s">
        <v>91</v>
      </c>
      <c r="E76" s="3" t="s">
        <v>581</v>
      </c>
      <c r="F76" s="3" t="s">
        <v>506</v>
      </c>
      <c r="G76" s="3" t="s">
        <v>251</v>
      </c>
      <c r="H76" s="3">
        <v>211002</v>
      </c>
      <c r="I76" s="3" t="s">
        <v>468</v>
      </c>
      <c r="J76" s="3" t="s">
        <v>252</v>
      </c>
      <c r="K76" t="s">
        <v>253</v>
      </c>
    </row>
    <row r="77" spans="1:11" customFormat="1" x14ac:dyDescent="0.25">
      <c r="A77" s="3" t="s">
        <v>377</v>
      </c>
      <c r="B77" s="3" t="s">
        <v>254</v>
      </c>
      <c r="C77" s="5" t="s">
        <v>437</v>
      </c>
      <c r="D77" s="3" t="s">
        <v>60</v>
      </c>
      <c r="E77" s="3" t="s">
        <v>609</v>
      </c>
      <c r="F77" s="3" t="s">
        <v>473</v>
      </c>
      <c r="G77" s="3"/>
      <c r="H77" s="3">
        <v>800014</v>
      </c>
      <c r="I77" s="3" t="s">
        <v>450</v>
      </c>
      <c r="J77" s="3" t="s">
        <v>255</v>
      </c>
      <c r="K77" t="s">
        <v>256</v>
      </c>
    </row>
    <row r="78" spans="1:11" customFormat="1" x14ac:dyDescent="0.25">
      <c r="A78" s="3" t="s">
        <v>4</v>
      </c>
      <c r="B78" s="3" t="s">
        <v>257</v>
      </c>
      <c r="C78" s="5" t="s">
        <v>438</v>
      </c>
      <c r="D78" s="3" t="s">
        <v>50</v>
      </c>
      <c r="E78" s="3" t="s">
        <v>610</v>
      </c>
      <c r="F78" s="3" t="s">
        <v>507</v>
      </c>
      <c r="G78" s="3" t="s">
        <v>125</v>
      </c>
      <c r="H78" s="3">
        <v>282010</v>
      </c>
      <c r="I78" s="3" t="s">
        <v>468</v>
      </c>
      <c r="J78" s="3" t="s">
        <v>258</v>
      </c>
    </row>
    <row r="79" spans="1:11" customFormat="1" x14ac:dyDescent="0.25">
      <c r="A79" s="3" t="s">
        <v>3</v>
      </c>
      <c r="B79" s="3" t="s">
        <v>259</v>
      </c>
      <c r="C79" s="5" t="s">
        <v>439</v>
      </c>
      <c r="D79" s="3" t="s">
        <v>95</v>
      </c>
      <c r="E79" s="3" t="s">
        <v>577</v>
      </c>
      <c r="F79" s="3" t="s">
        <v>505</v>
      </c>
      <c r="G79" s="3" t="s">
        <v>260</v>
      </c>
      <c r="H79" s="3">
        <v>226014</v>
      </c>
      <c r="I79" s="3" t="s">
        <v>468</v>
      </c>
      <c r="J79" s="3" t="s">
        <v>261</v>
      </c>
      <c r="K79" t="s">
        <v>262</v>
      </c>
    </row>
    <row r="80" spans="1:11" customFormat="1" x14ac:dyDescent="0.25">
      <c r="A80" s="3" t="s">
        <v>378</v>
      </c>
      <c r="B80" s="3" t="s">
        <v>263</v>
      </c>
      <c r="C80" s="5" t="s">
        <v>637</v>
      </c>
      <c r="D80" s="3" t="s">
        <v>50</v>
      </c>
      <c r="E80" s="3" t="s">
        <v>525</v>
      </c>
      <c r="F80" s="3" t="s">
        <v>480</v>
      </c>
      <c r="G80" s="3"/>
      <c r="H80" s="3">
        <v>360001</v>
      </c>
      <c r="I80" s="3" t="s">
        <v>457</v>
      </c>
      <c r="J80" s="3" t="s">
        <v>264</v>
      </c>
      <c r="K80" t="s">
        <v>265</v>
      </c>
    </row>
    <row r="81" spans="1:11" customFormat="1" x14ac:dyDescent="0.25">
      <c r="A81" s="3" t="s">
        <v>2</v>
      </c>
      <c r="B81" s="3" t="s">
        <v>266</v>
      </c>
      <c r="C81" s="5" t="s">
        <v>440</v>
      </c>
      <c r="D81" s="3" t="s">
        <v>34</v>
      </c>
      <c r="E81" s="3" t="s">
        <v>571</v>
      </c>
      <c r="F81" s="3" t="s">
        <v>500</v>
      </c>
      <c r="G81" s="3"/>
      <c r="H81" s="3">
        <v>600037</v>
      </c>
      <c r="I81" s="3" t="s">
        <v>460</v>
      </c>
      <c r="J81" s="3" t="s">
        <v>267</v>
      </c>
    </row>
    <row r="82" spans="1:11" customFormat="1" x14ac:dyDescent="0.25">
      <c r="A82" s="3" t="s">
        <v>379</v>
      </c>
      <c r="B82" s="3" t="s">
        <v>268</v>
      </c>
      <c r="C82" s="5" t="s">
        <v>441</v>
      </c>
      <c r="D82" s="3" t="s">
        <v>30</v>
      </c>
      <c r="E82" s="3" t="s">
        <v>591</v>
      </c>
      <c r="F82" s="3" t="s">
        <v>475</v>
      </c>
      <c r="G82" s="3" t="s">
        <v>76</v>
      </c>
      <c r="H82" s="3">
        <v>713213</v>
      </c>
      <c r="I82" s="3" t="s">
        <v>451</v>
      </c>
      <c r="J82" s="3" t="s">
        <v>269</v>
      </c>
      <c r="K82" t="s">
        <v>270</v>
      </c>
    </row>
    <row r="83" spans="1:11" customFormat="1" x14ac:dyDescent="0.25">
      <c r="A83" s="3" t="s">
        <v>380</v>
      </c>
      <c r="B83" s="3" t="s">
        <v>271</v>
      </c>
      <c r="C83" s="5" t="s">
        <v>442</v>
      </c>
      <c r="D83" s="3" t="s">
        <v>75</v>
      </c>
      <c r="E83" s="3" t="s">
        <v>580</v>
      </c>
      <c r="F83" s="3" t="s">
        <v>506</v>
      </c>
      <c r="G83" s="3" t="s">
        <v>157</v>
      </c>
      <c r="H83" s="3">
        <v>211003</v>
      </c>
      <c r="I83" s="3" t="s">
        <v>468</v>
      </c>
      <c r="J83" s="3" t="s">
        <v>272</v>
      </c>
      <c r="K83" t="s">
        <v>273</v>
      </c>
    </row>
    <row r="84" spans="1:11" customFormat="1" x14ac:dyDescent="0.25">
      <c r="A84" s="3" t="s">
        <v>381</v>
      </c>
      <c r="B84" s="3" t="s">
        <v>274</v>
      </c>
      <c r="C84" s="5" t="s">
        <v>443</v>
      </c>
      <c r="D84" s="3" t="s">
        <v>91</v>
      </c>
      <c r="E84" s="3" t="s">
        <v>517</v>
      </c>
      <c r="F84" s="3" t="s">
        <v>453</v>
      </c>
      <c r="G84" s="3"/>
      <c r="H84" s="3">
        <v>110005</v>
      </c>
      <c r="I84" s="3" t="s">
        <v>453</v>
      </c>
      <c r="J84" s="3" t="s">
        <v>275</v>
      </c>
      <c r="K84" t="s">
        <v>276</v>
      </c>
    </row>
    <row r="85" spans="1:11" customFormat="1" x14ac:dyDescent="0.25">
      <c r="A85" s="3" t="s">
        <v>382</v>
      </c>
      <c r="B85" s="3" t="s">
        <v>277</v>
      </c>
      <c r="C85" s="5" t="s">
        <v>444</v>
      </c>
      <c r="D85" s="3" t="s">
        <v>66</v>
      </c>
      <c r="E85" s="3" t="s">
        <v>544</v>
      </c>
      <c r="F85" s="3" t="s">
        <v>488</v>
      </c>
      <c r="G85" s="3"/>
      <c r="H85" s="3">
        <v>411007</v>
      </c>
      <c r="I85" s="3" t="s">
        <v>456</v>
      </c>
      <c r="J85" s="3" t="s">
        <v>278</v>
      </c>
      <c r="K85" t="s">
        <v>279</v>
      </c>
    </row>
    <row r="86" spans="1:11" customFormat="1" x14ac:dyDescent="0.25">
      <c r="A86" s="3" t="s">
        <v>383</v>
      </c>
      <c r="B86" s="3" t="s">
        <v>280</v>
      </c>
      <c r="C86" s="5" t="s">
        <v>445</v>
      </c>
      <c r="D86" s="3" t="s">
        <v>60</v>
      </c>
      <c r="E86" s="3" t="s">
        <v>549</v>
      </c>
      <c r="F86" s="3" t="s">
        <v>491</v>
      </c>
      <c r="G86" s="3"/>
      <c r="H86" s="3">
        <v>416003</v>
      </c>
      <c r="I86" s="3" t="s">
        <v>456</v>
      </c>
      <c r="J86" s="3" t="s">
        <v>281</v>
      </c>
      <c r="K86" t="s">
        <v>282</v>
      </c>
    </row>
    <row r="87" spans="1:11" customFormat="1" x14ac:dyDescent="0.25">
      <c r="A87" s="3" t="s">
        <v>384</v>
      </c>
      <c r="B87" s="3" t="s">
        <v>283</v>
      </c>
      <c r="C87" s="4" t="s">
        <v>638</v>
      </c>
      <c r="D87" s="3" t="s">
        <v>30</v>
      </c>
      <c r="E87" s="3" t="s">
        <v>526</v>
      </c>
      <c r="F87" s="3" t="s">
        <v>480</v>
      </c>
      <c r="G87" s="3"/>
      <c r="H87" s="3">
        <v>360001</v>
      </c>
      <c r="I87" s="3" t="s">
        <v>457</v>
      </c>
      <c r="J87" s="3" t="s">
        <v>284</v>
      </c>
      <c r="K87" t="s">
        <v>285</v>
      </c>
    </row>
    <row r="88" spans="1:11" customFormat="1" x14ac:dyDescent="0.25">
      <c r="A88" s="3" t="s">
        <v>385</v>
      </c>
      <c r="B88" s="3" t="s">
        <v>286</v>
      </c>
      <c r="C88" s="4" t="s">
        <v>446</v>
      </c>
      <c r="D88" s="3" t="s">
        <v>60</v>
      </c>
      <c r="E88" s="3" t="s">
        <v>574</v>
      </c>
      <c r="F88" s="3" t="s">
        <v>504</v>
      </c>
      <c r="G88" s="3"/>
      <c r="H88" s="3">
        <v>799279</v>
      </c>
      <c r="I88" s="3" t="s">
        <v>455</v>
      </c>
      <c r="J88" s="3" t="s">
        <v>287</v>
      </c>
      <c r="K88" t="s">
        <v>287</v>
      </c>
    </row>
    <row r="89" spans="1:11" customFormat="1" x14ac:dyDescent="0.25">
      <c r="A89" s="3" t="s">
        <v>386</v>
      </c>
      <c r="B89" s="3" t="s">
        <v>288</v>
      </c>
      <c r="C89" s="4" t="s">
        <v>447</v>
      </c>
      <c r="D89" s="3" t="s">
        <v>91</v>
      </c>
      <c r="E89" s="3" t="s">
        <v>586</v>
      </c>
      <c r="F89" s="3" t="s">
        <v>474</v>
      </c>
      <c r="G89" s="3" t="s">
        <v>76</v>
      </c>
      <c r="H89" s="3">
        <v>700098</v>
      </c>
      <c r="I89" s="3" t="s">
        <v>451</v>
      </c>
      <c r="J89" s="3" t="s">
        <v>289</v>
      </c>
    </row>
    <row r="90" spans="1:11" customFormat="1" x14ac:dyDescent="0.25">
      <c r="A90" s="3" t="s">
        <v>1</v>
      </c>
      <c r="B90" s="3" t="s">
        <v>290</v>
      </c>
      <c r="C90" s="4" t="s">
        <v>639</v>
      </c>
      <c r="D90" s="3" t="s">
        <v>34</v>
      </c>
      <c r="E90" s="3" t="s">
        <v>582</v>
      </c>
      <c r="F90" s="3" t="s">
        <v>507</v>
      </c>
      <c r="G90" s="3" t="s">
        <v>157</v>
      </c>
      <c r="H90" s="3">
        <v>282001</v>
      </c>
      <c r="I90" s="3" t="s">
        <v>468</v>
      </c>
      <c r="J90" s="3" t="s">
        <v>291</v>
      </c>
      <c r="K90" t="s">
        <v>292</v>
      </c>
    </row>
    <row r="91" spans="1:11" customFormat="1" x14ac:dyDescent="0.25">
      <c r="A91" s="3" t="s">
        <v>0</v>
      </c>
      <c r="B91" s="3" t="s">
        <v>293</v>
      </c>
      <c r="C91" s="4" t="s">
        <v>640</v>
      </c>
      <c r="D91" s="3" t="s">
        <v>294</v>
      </c>
      <c r="E91" s="3" t="s">
        <v>573</v>
      </c>
      <c r="F91" s="3" t="s">
        <v>503</v>
      </c>
      <c r="G91" s="3"/>
      <c r="H91" s="3">
        <v>799010</v>
      </c>
      <c r="I91" s="3" t="s">
        <v>455</v>
      </c>
      <c r="J91" s="3" t="s">
        <v>295</v>
      </c>
      <c r="K91" t="s">
        <v>295</v>
      </c>
    </row>
    <row r="92" spans="1:11" customFormat="1" x14ac:dyDescent="0.25">
      <c r="A92" s="3" t="s">
        <v>387</v>
      </c>
      <c r="B92" s="3" t="s">
        <v>296</v>
      </c>
      <c r="C92" s="4" t="s">
        <v>641</v>
      </c>
      <c r="D92" s="3" t="s">
        <v>34</v>
      </c>
      <c r="E92" s="3" t="s">
        <v>558</v>
      </c>
      <c r="F92" s="3" t="s">
        <v>495</v>
      </c>
      <c r="G92" s="3"/>
      <c r="H92" s="3">
        <v>769015</v>
      </c>
      <c r="I92" s="3" t="s">
        <v>463</v>
      </c>
      <c r="J92" s="3" t="s">
        <v>297</v>
      </c>
      <c r="K92" t="s">
        <v>297</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J832"/>
  <sheetViews>
    <sheetView workbookViewId="0">
      <selection activeCell="K10" sqref="K10"/>
    </sheetView>
  </sheetViews>
  <sheetFormatPr defaultRowHeight="15" x14ac:dyDescent="0.25"/>
  <cols>
    <col min="1" max="1" width="8" bestFit="1" customWidth="1"/>
    <col min="2" max="2" width="11.42578125" bestFit="1" customWidth="1"/>
    <col min="3" max="3" width="10.42578125" style="3" bestFit="1" customWidth="1"/>
    <col min="4" max="4" width="13.42578125" style="3" bestFit="1" customWidth="1"/>
    <col min="5" max="5" width="12.42578125" style="3" bestFit="1" customWidth="1"/>
    <col min="6" max="6" width="16.28515625" style="3" bestFit="1" customWidth="1"/>
    <col min="7" max="7" width="13.42578125" style="11" bestFit="1" customWidth="1"/>
    <col min="8" max="8" width="23.42578125" style="3" bestFit="1" customWidth="1"/>
    <col min="9" max="9" width="12.42578125" style="3" bestFit="1" customWidth="1"/>
    <col min="10" max="10" width="10.42578125" bestFit="1" customWidth="1"/>
  </cols>
  <sheetData>
    <row r="1" spans="1:10" x14ac:dyDescent="0.25">
      <c r="A1" t="s">
        <v>310</v>
      </c>
      <c r="B1" t="s">
        <v>311</v>
      </c>
      <c r="C1" s="3" t="s">
        <v>312</v>
      </c>
      <c r="D1" s="3" t="s">
        <v>313</v>
      </c>
      <c r="E1" s="3" t="s">
        <v>308</v>
      </c>
      <c r="F1" s="3" t="s">
        <v>643</v>
      </c>
      <c r="G1" s="11" t="s">
        <v>314</v>
      </c>
      <c r="H1" s="3" t="s">
        <v>309</v>
      </c>
      <c r="I1" s="3" t="s">
        <v>647</v>
      </c>
    </row>
    <row r="2" spans="1:10" x14ac:dyDescent="0.25">
      <c r="A2">
        <v>10643</v>
      </c>
      <c r="B2" t="s">
        <v>29</v>
      </c>
      <c r="C2" s="6">
        <v>42972</v>
      </c>
      <c r="D2" s="6">
        <v>43000</v>
      </c>
      <c r="E2" s="6">
        <v>42980</v>
      </c>
      <c r="F2" s="3" t="s">
        <v>644</v>
      </c>
      <c r="G2" s="11">
        <v>147.30000000000001</v>
      </c>
      <c r="H2" s="3" t="s">
        <v>315</v>
      </c>
      <c r="I2" s="3" t="str">
        <f>TEXT(C2,"mmm")</f>
        <v>Aug</v>
      </c>
      <c r="J2" s="1"/>
    </row>
    <row r="3" spans="1:10" x14ac:dyDescent="0.25">
      <c r="A3">
        <v>10692</v>
      </c>
      <c r="B3" t="s">
        <v>29</v>
      </c>
      <c r="C3" s="6">
        <v>43011</v>
      </c>
      <c r="D3" s="6">
        <v>43039</v>
      </c>
      <c r="E3" s="6">
        <v>43021</v>
      </c>
      <c r="F3" s="3" t="s">
        <v>645</v>
      </c>
      <c r="G3" s="11">
        <v>305.10000000000002</v>
      </c>
      <c r="H3" s="3" t="s">
        <v>315</v>
      </c>
      <c r="I3" s="3" t="str">
        <f t="shared" ref="I3:I66" si="0">TEXT(C3,"mmm")</f>
        <v>Oct</v>
      </c>
    </row>
    <row r="4" spans="1:10" x14ac:dyDescent="0.25">
      <c r="A4">
        <v>10702</v>
      </c>
      <c r="B4" t="s">
        <v>29</v>
      </c>
      <c r="C4" s="6">
        <v>43021</v>
      </c>
      <c r="D4" s="6">
        <v>43063</v>
      </c>
      <c r="E4" s="6">
        <v>43029</v>
      </c>
      <c r="F4" s="3" t="s">
        <v>644</v>
      </c>
      <c r="G4" s="11">
        <v>119.7</v>
      </c>
      <c r="H4" s="3" t="s">
        <v>315</v>
      </c>
      <c r="I4" s="3" t="str">
        <f t="shared" si="0"/>
        <v>Oct</v>
      </c>
    </row>
    <row r="5" spans="1:10" x14ac:dyDescent="0.25">
      <c r="A5">
        <v>10835</v>
      </c>
      <c r="B5" t="s">
        <v>29</v>
      </c>
      <c r="C5" s="6">
        <v>43115</v>
      </c>
      <c r="D5" s="6">
        <v>43143</v>
      </c>
      <c r="E5" s="6">
        <v>43121</v>
      </c>
      <c r="F5" s="3" t="s">
        <v>646</v>
      </c>
      <c r="G5" s="11">
        <v>347.65</v>
      </c>
      <c r="H5" s="3" t="s">
        <v>315</v>
      </c>
      <c r="I5" s="3" t="str">
        <f t="shared" si="0"/>
        <v>Jan</v>
      </c>
    </row>
    <row r="6" spans="1:10" x14ac:dyDescent="0.25">
      <c r="A6">
        <v>10952</v>
      </c>
      <c r="B6" t="s">
        <v>29</v>
      </c>
      <c r="C6" s="6">
        <v>43175</v>
      </c>
      <c r="D6" s="6">
        <v>43217</v>
      </c>
      <c r="E6" s="6">
        <v>43183</v>
      </c>
      <c r="F6" s="3" t="s">
        <v>644</v>
      </c>
      <c r="G6" s="11">
        <v>202.10000000000002</v>
      </c>
      <c r="H6" s="3" t="s">
        <v>315</v>
      </c>
      <c r="I6" s="3" t="str">
        <f t="shared" si="0"/>
        <v>Mar</v>
      </c>
    </row>
    <row r="7" spans="1:10" x14ac:dyDescent="0.25">
      <c r="A7">
        <v>11011</v>
      </c>
      <c r="B7" t="s">
        <v>29</v>
      </c>
      <c r="C7" s="6">
        <v>43199</v>
      </c>
      <c r="D7" s="6">
        <v>43227</v>
      </c>
      <c r="E7" s="6">
        <v>43203</v>
      </c>
      <c r="F7" s="3" t="s">
        <v>644</v>
      </c>
      <c r="G7" s="11">
        <v>6.05</v>
      </c>
      <c r="H7" s="3" t="s">
        <v>315</v>
      </c>
      <c r="I7" s="3" t="str">
        <f t="shared" si="0"/>
        <v>Apr</v>
      </c>
    </row>
    <row r="8" spans="1:10" x14ac:dyDescent="0.25">
      <c r="A8">
        <v>10308</v>
      </c>
      <c r="B8" t="s">
        <v>33</v>
      </c>
      <c r="C8" s="6">
        <v>42631</v>
      </c>
      <c r="D8" s="6">
        <v>42659</v>
      </c>
      <c r="E8" s="6">
        <v>42637</v>
      </c>
      <c r="F8" s="3" t="s">
        <v>646</v>
      </c>
      <c r="G8" s="11">
        <v>8.0500000000000007</v>
      </c>
      <c r="H8" s="3" t="s">
        <v>316</v>
      </c>
      <c r="I8" s="3" t="str">
        <f t="shared" si="0"/>
        <v>Sep</v>
      </c>
    </row>
    <row r="9" spans="1:10" x14ac:dyDescent="0.25">
      <c r="A9">
        <v>10625</v>
      </c>
      <c r="B9" t="s">
        <v>33</v>
      </c>
      <c r="C9" s="6">
        <v>42955</v>
      </c>
      <c r="D9" s="6">
        <v>42983</v>
      </c>
      <c r="E9" s="6">
        <v>42961</v>
      </c>
      <c r="F9" s="3" t="s">
        <v>644</v>
      </c>
      <c r="G9" s="11">
        <v>219.5</v>
      </c>
      <c r="H9" s="3" t="s">
        <v>316</v>
      </c>
      <c r="I9" s="3" t="str">
        <f t="shared" si="0"/>
        <v>Aug</v>
      </c>
    </row>
    <row r="10" spans="1:10" x14ac:dyDescent="0.25">
      <c r="A10">
        <v>10759</v>
      </c>
      <c r="B10" t="s">
        <v>33</v>
      </c>
      <c r="C10" s="6">
        <v>43067</v>
      </c>
      <c r="D10" s="6">
        <v>43095</v>
      </c>
      <c r="E10" s="6">
        <v>43081</v>
      </c>
      <c r="F10" s="3" t="s">
        <v>646</v>
      </c>
      <c r="G10" s="11">
        <v>59.95</v>
      </c>
      <c r="H10" s="3" t="s">
        <v>316</v>
      </c>
      <c r="I10" s="3" t="str">
        <f t="shared" si="0"/>
        <v>Nov</v>
      </c>
    </row>
    <row r="11" spans="1:10" x14ac:dyDescent="0.25">
      <c r="A11">
        <v>10926</v>
      </c>
      <c r="B11" t="s">
        <v>33</v>
      </c>
      <c r="C11" s="6">
        <v>43163</v>
      </c>
      <c r="D11" s="6">
        <v>43191</v>
      </c>
      <c r="E11" s="6">
        <v>43170</v>
      </c>
      <c r="F11" s="3" t="s">
        <v>646</v>
      </c>
      <c r="G11" s="11">
        <v>199.60000000000002</v>
      </c>
      <c r="H11" s="3" t="s">
        <v>316</v>
      </c>
      <c r="I11" s="3" t="str">
        <f t="shared" si="0"/>
        <v>Mar</v>
      </c>
    </row>
    <row r="12" spans="1:10" x14ac:dyDescent="0.25">
      <c r="A12">
        <v>10365</v>
      </c>
      <c r="B12" t="s">
        <v>37</v>
      </c>
      <c r="C12" s="6">
        <v>42701</v>
      </c>
      <c r="D12" s="6">
        <v>42729</v>
      </c>
      <c r="E12" s="6">
        <v>42706</v>
      </c>
      <c r="F12" s="3" t="s">
        <v>645</v>
      </c>
      <c r="G12" s="11">
        <v>110</v>
      </c>
      <c r="H12" s="3" t="s">
        <v>317</v>
      </c>
      <c r="I12" s="3" t="str">
        <f t="shared" si="0"/>
        <v>Nov</v>
      </c>
    </row>
    <row r="13" spans="1:10" x14ac:dyDescent="0.25">
      <c r="A13">
        <v>10507</v>
      </c>
      <c r="B13" t="s">
        <v>37</v>
      </c>
      <c r="C13" s="6">
        <v>42840</v>
      </c>
      <c r="D13" s="6">
        <v>42868</v>
      </c>
      <c r="E13" s="6">
        <v>42847</v>
      </c>
      <c r="F13" s="3" t="s">
        <v>644</v>
      </c>
      <c r="G13" s="11">
        <v>237.25</v>
      </c>
      <c r="H13" s="3" t="s">
        <v>317</v>
      </c>
      <c r="I13" s="3" t="str">
        <f t="shared" si="0"/>
        <v>Apr</v>
      </c>
    </row>
    <row r="14" spans="1:10" x14ac:dyDescent="0.25">
      <c r="A14">
        <v>10535</v>
      </c>
      <c r="B14" t="s">
        <v>37</v>
      </c>
      <c r="C14" s="6">
        <v>42868</v>
      </c>
      <c r="D14" s="6">
        <v>42896</v>
      </c>
      <c r="E14" s="6">
        <v>42876</v>
      </c>
      <c r="F14" s="3" t="s">
        <v>644</v>
      </c>
      <c r="G14" s="11">
        <v>78.2</v>
      </c>
      <c r="H14" s="3" t="s">
        <v>317</v>
      </c>
      <c r="I14" s="3" t="str">
        <f t="shared" si="0"/>
        <v>May</v>
      </c>
    </row>
    <row r="15" spans="1:10" x14ac:dyDescent="0.25">
      <c r="A15">
        <v>10573</v>
      </c>
      <c r="B15" t="s">
        <v>37</v>
      </c>
      <c r="C15" s="6">
        <v>42905</v>
      </c>
      <c r="D15" s="6">
        <v>42933</v>
      </c>
      <c r="E15" s="6">
        <v>42906</v>
      </c>
      <c r="F15" s="3" t="s">
        <v>646</v>
      </c>
      <c r="G15" s="11">
        <v>424.20000000000005</v>
      </c>
      <c r="H15" s="3" t="s">
        <v>317</v>
      </c>
      <c r="I15" s="3" t="str">
        <f t="shared" si="0"/>
        <v>Jun</v>
      </c>
    </row>
    <row r="16" spans="1:10" x14ac:dyDescent="0.25">
      <c r="A16">
        <v>10677</v>
      </c>
      <c r="B16" t="s">
        <v>37</v>
      </c>
      <c r="C16" s="6">
        <v>43000</v>
      </c>
      <c r="D16" s="6">
        <v>43028</v>
      </c>
      <c r="E16" s="6">
        <v>43004</v>
      </c>
      <c r="F16" s="3" t="s">
        <v>646</v>
      </c>
      <c r="G16" s="11">
        <v>20.150000000000002</v>
      </c>
      <c r="H16" s="3" t="s">
        <v>317</v>
      </c>
      <c r="I16" s="3" t="str">
        <f t="shared" si="0"/>
        <v>Sep</v>
      </c>
    </row>
    <row r="17" spans="1:9" x14ac:dyDescent="0.25">
      <c r="A17">
        <v>10682</v>
      </c>
      <c r="B17" t="s">
        <v>37</v>
      </c>
      <c r="C17" s="6">
        <v>43003</v>
      </c>
      <c r="D17" s="6">
        <v>43031</v>
      </c>
      <c r="E17" s="6">
        <v>43009</v>
      </c>
      <c r="F17" s="3" t="s">
        <v>645</v>
      </c>
      <c r="G17" s="11">
        <v>180.65</v>
      </c>
      <c r="H17" s="3" t="s">
        <v>317</v>
      </c>
      <c r="I17" s="3" t="str">
        <f t="shared" si="0"/>
        <v>Sep</v>
      </c>
    </row>
    <row r="18" spans="1:9" x14ac:dyDescent="0.25">
      <c r="A18">
        <v>10856</v>
      </c>
      <c r="B18" t="s">
        <v>37</v>
      </c>
      <c r="C18" s="6">
        <v>43128</v>
      </c>
      <c r="D18" s="6">
        <v>43156</v>
      </c>
      <c r="E18" s="6">
        <v>43141</v>
      </c>
      <c r="F18" s="3" t="s">
        <v>645</v>
      </c>
      <c r="G18" s="11">
        <v>292.14999999999998</v>
      </c>
      <c r="H18" s="3" t="s">
        <v>317</v>
      </c>
      <c r="I18" s="3" t="str">
        <f t="shared" si="0"/>
        <v>Jan</v>
      </c>
    </row>
    <row r="19" spans="1:9" x14ac:dyDescent="0.25">
      <c r="A19">
        <v>10355</v>
      </c>
      <c r="B19" t="s">
        <v>39</v>
      </c>
      <c r="C19" s="6">
        <v>42689</v>
      </c>
      <c r="D19" s="6">
        <v>42717</v>
      </c>
      <c r="E19" s="6">
        <v>42694</v>
      </c>
      <c r="F19" s="3" t="s">
        <v>644</v>
      </c>
      <c r="G19" s="11">
        <v>209.75</v>
      </c>
      <c r="H19" s="3" t="s">
        <v>318</v>
      </c>
      <c r="I19" s="3" t="str">
        <f t="shared" si="0"/>
        <v>Nov</v>
      </c>
    </row>
    <row r="20" spans="1:9" x14ac:dyDescent="0.25">
      <c r="A20">
        <v>10383</v>
      </c>
      <c r="B20" t="s">
        <v>39</v>
      </c>
      <c r="C20" s="6">
        <v>42720</v>
      </c>
      <c r="D20" s="6">
        <v>42748</v>
      </c>
      <c r="E20" s="6">
        <v>42722</v>
      </c>
      <c r="F20" s="3" t="s">
        <v>646</v>
      </c>
      <c r="G20" s="11">
        <v>171.20000000000002</v>
      </c>
      <c r="H20" s="3" t="s">
        <v>318</v>
      </c>
      <c r="I20" s="3" t="str">
        <f t="shared" si="0"/>
        <v>Dec</v>
      </c>
    </row>
    <row r="21" spans="1:9" x14ac:dyDescent="0.25">
      <c r="A21">
        <v>10453</v>
      </c>
      <c r="B21" t="s">
        <v>39</v>
      </c>
      <c r="C21" s="6">
        <v>42787</v>
      </c>
      <c r="D21" s="6">
        <v>42815</v>
      </c>
      <c r="E21" s="6">
        <v>42792</v>
      </c>
      <c r="F21" s="3" t="s">
        <v>645</v>
      </c>
      <c r="G21" s="11">
        <v>126.8</v>
      </c>
      <c r="H21" s="3" t="s">
        <v>318</v>
      </c>
      <c r="I21" s="3" t="str">
        <f t="shared" si="0"/>
        <v>Feb</v>
      </c>
    </row>
    <row r="22" spans="1:9" x14ac:dyDescent="0.25">
      <c r="A22">
        <v>10558</v>
      </c>
      <c r="B22" t="s">
        <v>39</v>
      </c>
      <c r="C22" s="6">
        <v>42890</v>
      </c>
      <c r="D22" s="6">
        <v>42918</v>
      </c>
      <c r="E22" s="6">
        <v>42896</v>
      </c>
      <c r="F22" s="3" t="s">
        <v>645</v>
      </c>
      <c r="G22" s="11">
        <v>364.85</v>
      </c>
      <c r="H22" s="3" t="s">
        <v>318</v>
      </c>
      <c r="I22" s="3" t="str">
        <f t="shared" si="0"/>
        <v>Jun</v>
      </c>
    </row>
    <row r="23" spans="1:9" x14ac:dyDescent="0.25">
      <c r="A23">
        <v>10707</v>
      </c>
      <c r="B23" t="s">
        <v>39</v>
      </c>
      <c r="C23" s="6">
        <v>43024</v>
      </c>
      <c r="D23" s="6">
        <v>43038</v>
      </c>
      <c r="E23" s="6">
        <v>43031</v>
      </c>
      <c r="F23" s="3" t="s">
        <v>646</v>
      </c>
      <c r="G23" s="11">
        <v>108.69999999999999</v>
      </c>
      <c r="H23" s="3" t="s">
        <v>318</v>
      </c>
      <c r="I23" s="3" t="str">
        <f t="shared" si="0"/>
        <v>Oct</v>
      </c>
    </row>
    <row r="24" spans="1:9" x14ac:dyDescent="0.25">
      <c r="A24">
        <v>10741</v>
      </c>
      <c r="B24" t="s">
        <v>39</v>
      </c>
      <c r="C24" s="6">
        <v>43053</v>
      </c>
      <c r="D24" s="6">
        <v>43067</v>
      </c>
      <c r="E24" s="6">
        <v>43057</v>
      </c>
      <c r="F24" s="3" t="s">
        <v>646</v>
      </c>
      <c r="G24" s="11">
        <v>54.800000000000004</v>
      </c>
      <c r="H24" s="3" t="s">
        <v>318</v>
      </c>
      <c r="I24" s="3" t="str">
        <f t="shared" si="0"/>
        <v>Nov</v>
      </c>
    </row>
    <row r="25" spans="1:9" x14ac:dyDescent="0.25">
      <c r="A25">
        <v>10743</v>
      </c>
      <c r="B25" t="s">
        <v>39</v>
      </c>
      <c r="C25" s="6">
        <v>43056</v>
      </c>
      <c r="D25" s="6">
        <v>43084</v>
      </c>
      <c r="E25" s="6">
        <v>43060</v>
      </c>
      <c r="F25" s="3" t="s">
        <v>645</v>
      </c>
      <c r="G25" s="11">
        <v>118.6</v>
      </c>
      <c r="H25" s="3" t="s">
        <v>318</v>
      </c>
      <c r="I25" s="3" t="str">
        <f t="shared" si="0"/>
        <v>Nov</v>
      </c>
    </row>
    <row r="26" spans="1:9" x14ac:dyDescent="0.25">
      <c r="A26">
        <v>10768</v>
      </c>
      <c r="B26" t="s">
        <v>39</v>
      </c>
      <c r="C26" s="6">
        <v>43077</v>
      </c>
      <c r="D26" s="6">
        <v>43105</v>
      </c>
      <c r="E26" s="6">
        <v>43084</v>
      </c>
      <c r="F26" s="3" t="s">
        <v>645</v>
      </c>
      <c r="G26" s="11">
        <v>731.59999999999991</v>
      </c>
      <c r="H26" s="3" t="s">
        <v>318</v>
      </c>
      <c r="I26" s="3" t="str">
        <f t="shared" si="0"/>
        <v>Dec</v>
      </c>
    </row>
    <row r="27" spans="1:9" x14ac:dyDescent="0.25">
      <c r="A27">
        <v>10793</v>
      </c>
      <c r="B27" t="s">
        <v>39</v>
      </c>
      <c r="C27" s="6">
        <v>43093</v>
      </c>
      <c r="D27" s="6">
        <v>43121</v>
      </c>
      <c r="E27" s="6">
        <v>43108</v>
      </c>
      <c r="F27" s="3" t="s">
        <v>646</v>
      </c>
      <c r="G27" s="11">
        <v>22.599999999999998</v>
      </c>
      <c r="H27" s="3" t="s">
        <v>318</v>
      </c>
      <c r="I27" s="3" t="str">
        <f t="shared" si="0"/>
        <v>Dec</v>
      </c>
    </row>
    <row r="28" spans="1:9" x14ac:dyDescent="0.25">
      <c r="A28">
        <v>10864</v>
      </c>
      <c r="B28" t="s">
        <v>39</v>
      </c>
      <c r="C28" s="6">
        <v>43133</v>
      </c>
      <c r="D28" s="6">
        <v>43161</v>
      </c>
      <c r="E28" s="6">
        <v>43140</v>
      </c>
      <c r="F28" s="3" t="s">
        <v>645</v>
      </c>
      <c r="G28" s="11">
        <v>15.2</v>
      </c>
      <c r="H28" s="3" t="s">
        <v>318</v>
      </c>
      <c r="I28" s="3" t="str">
        <f t="shared" si="0"/>
        <v>Feb</v>
      </c>
    </row>
    <row r="29" spans="1:9" x14ac:dyDescent="0.25">
      <c r="A29">
        <v>10920</v>
      </c>
      <c r="B29" t="s">
        <v>39</v>
      </c>
      <c r="C29" s="6">
        <v>43162</v>
      </c>
      <c r="D29" s="6">
        <v>43190</v>
      </c>
      <c r="E29" s="6">
        <v>43168</v>
      </c>
      <c r="F29" s="3" t="s">
        <v>645</v>
      </c>
      <c r="G29" s="11">
        <v>148.05000000000001</v>
      </c>
      <c r="H29" s="3" t="s">
        <v>318</v>
      </c>
      <c r="I29" s="3" t="str">
        <f t="shared" si="0"/>
        <v>Mar</v>
      </c>
    </row>
    <row r="30" spans="1:9" x14ac:dyDescent="0.25">
      <c r="A30">
        <v>10953</v>
      </c>
      <c r="B30" t="s">
        <v>39</v>
      </c>
      <c r="C30" s="6">
        <v>43175</v>
      </c>
      <c r="D30" s="6">
        <v>43189</v>
      </c>
      <c r="E30" s="6">
        <v>43184</v>
      </c>
      <c r="F30" s="3" t="s">
        <v>645</v>
      </c>
      <c r="G30" s="11">
        <v>118.6</v>
      </c>
      <c r="H30" s="3" t="s">
        <v>318</v>
      </c>
      <c r="I30" s="3" t="str">
        <f t="shared" si="0"/>
        <v>Mar</v>
      </c>
    </row>
    <row r="31" spans="1:9" x14ac:dyDescent="0.25">
      <c r="A31">
        <v>11016</v>
      </c>
      <c r="B31" t="s">
        <v>39</v>
      </c>
      <c r="C31" s="6">
        <v>43200</v>
      </c>
      <c r="D31" s="6">
        <v>43228</v>
      </c>
      <c r="E31" s="6">
        <v>43203</v>
      </c>
      <c r="F31" s="3" t="s">
        <v>645</v>
      </c>
      <c r="G31" s="11">
        <v>169</v>
      </c>
      <c r="H31" s="3" t="s">
        <v>318</v>
      </c>
      <c r="I31" s="3" t="str">
        <f t="shared" si="0"/>
        <v>Apr</v>
      </c>
    </row>
    <row r="32" spans="1:9" x14ac:dyDescent="0.25">
      <c r="A32">
        <v>10278</v>
      </c>
      <c r="B32" t="s">
        <v>42</v>
      </c>
      <c r="C32" s="6">
        <v>42594</v>
      </c>
      <c r="D32" s="6">
        <v>42622</v>
      </c>
      <c r="E32" s="6">
        <v>42598</v>
      </c>
      <c r="F32" s="3" t="s">
        <v>645</v>
      </c>
      <c r="G32" s="11">
        <v>463.45</v>
      </c>
      <c r="H32" s="3" t="s">
        <v>319</v>
      </c>
      <c r="I32" s="3" t="str">
        <f t="shared" si="0"/>
        <v>Aug</v>
      </c>
    </row>
    <row r="33" spans="1:9" x14ac:dyDescent="0.25">
      <c r="A33">
        <v>10280</v>
      </c>
      <c r="B33" t="s">
        <v>42</v>
      </c>
      <c r="C33" s="6">
        <v>42596</v>
      </c>
      <c r="D33" s="6">
        <v>42624</v>
      </c>
      <c r="E33" s="6">
        <v>42625</v>
      </c>
      <c r="F33" s="3" t="s">
        <v>644</v>
      </c>
      <c r="G33" s="11">
        <v>44.900000000000006</v>
      </c>
      <c r="H33" s="3" t="s">
        <v>319</v>
      </c>
      <c r="I33" s="3" t="str">
        <f t="shared" si="0"/>
        <v>Aug</v>
      </c>
    </row>
    <row r="34" spans="1:9" x14ac:dyDescent="0.25">
      <c r="A34">
        <v>10384</v>
      </c>
      <c r="B34" t="s">
        <v>42</v>
      </c>
      <c r="C34" s="6">
        <v>42720</v>
      </c>
      <c r="D34" s="6">
        <v>42748</v>
      </c>
      <c r="E34" s="6">
        <v>42724</v>
      </c>
      <c r="F34" s="3" t="s">
        <v>646</v>
      </c>
      <c r="G34" s="11">
        <v>843.19999999999993</v>
      </c>
      <c r="H34" s="3" t="s">
        <v>319</v>
      </c>
      <c r="I34" s="3" t="str">
        <f t="shared" si="0"/>
        <v>Dec</v>
      </c>
    </row>
    <row r="35" spans="1:9" x14ac:dyDescent="0.25">
      <c r="A35">
        <v>10444</v>
      </c>
      <c r="B35" t="s">
        <v>42</v>
      </c>
      <c r="C35" s="6">
        <v>42778</v>
      </c>
      <c r="D35" s="6">
        <v>42806</v>
      </c>
      <c r="E35" s="6">
        <v>42787</v>
      </c>
      <c r="F35" s="3" t="s">
        <v>646</v>
      </c>
      <c r="G35" s="11">
        <v>17.5</v>
      </c>
      <c r="H35" s="3" t="s">
        <v>319</v>
      </c>
      <c r="I35" s="3" t="str">
        <f t="shared" si="0"/>
        <v>Feb</v>
      </c>
    </row>
    <row r="36" spans="1:9" x14ac:dyDescent="0.25">
      <c r="A36">
        <v>10445</v>
      </c>
      <c r="B36" t="s">
        <v>42</v>
      </c>
      <c r="C36" s="6">
        <v>42779</v>
      </c>
      <c r="D36" s="6">
        <v>42807</v>
      </c>
      <c r="E36" s="6">
        <v>42786</v>
      </c>
      <c r="F36" s="3" t="s">
        <v>644</v>
      </c>
      <c r="G36" s="11">
        <v>46.5</v>
      </c>
      <c r="H36" s="3" t="s">
        <v>319</v>
      </c>
      <c r="I36" s="3" t="str">
        <f t="shared" si="0"/>
        <v>Feb</v>
      </c>
    </row>
    <row r="37" spans="1:9" x14ac:dyDescent="0.25">
      <c r="A37">
        <v>10524</v>
      </c>
      <c r="B37" t="s">
        <v>42</v>
      </c>
      <c r="C37" s="6">
        <v>42856</v>
      </c>
      <c r="D37" s="6">
        <v>42884</v>
      </c>
      <c r="E37" s="6">
        <v>42862</v>
      </c>
      <c r="F37" s="3" t="s">
        <v>645</v>
      </c>
      <c r="G37" s="11">
        <v>1223.95</v>
      </c>
      <c r="H37" s="3" t="s">
        <v>319</v>
      </c>
      <c r="I37" s="3" t="str">
        <f t="shared" si="0"/>
        <v>May</v>
      </c>
    </row>
    <row r="38" spans="1:9" x14ac:dyDescent="0.25">
      <c r="A38">
        <v>10572</v>
      </c>
      <c r="B38" t="s">
        <v>42</v>
      </c>
      <c r="C38" s="6">
        <v>42904</v>
      </c>
      <c r="D38" s="6">
        <v>42932</v>
      </c>
      <c r="E38" s="6">
        <v>42911</v>
      </c>
      <c r="F38" s="3" t="s">
        <v>645</v>
      </c>
      <c r="G38" s="11">
        <v>582.15000000000009</v>
      </c>
      <c r="H38" s="3" t="s">
        <v>319</v>
      </c>
      <c r="I38" s="3" t="str">
        <f t="shared" si="0"/>
        <v>Jun</v>
      </c>
    </row>
    <row r="39" spans="1:9" x14ac:dyDescent="0.25">
      <c r="A39">
        <v>10626</v>
      </c>
      <c r="B39" t="s">
        <v>42</v>
      </c>
      <c r="C39" s="6">
        <v>42958</v>
      </c>
      <c r="D39" s="6">
        <v>42986</v>
      </c>
      <c r="E39" s="6">
        <v>42967</v>
      </c>
      <c r="F39" s="3" t="s">
        <v>645</v>
      </c>
      <c r="G39" s="11">
        <v>693.45</v>
      </c>
      <c r="H39" s="3" t="s">
        <v>319</v>
      </c>
      <c r="I39" s="3" t="str">
        <f t="shared" si="0"/>
        <v>Aug</v>
      </c>
    </row>
    <row r="40" spans="1:9" x14ac:dyDescent="0.25">
      <c r="A40">
        <v>10654</v>
      </c>
      <c r="B40" t="s">
        <v>42</v>
      </c>
      <c r="C40" s="6">
        <v>42980</v>
      </c>
      <c r="D40" s="6">
        <v>43008</v>
      </c>
      <c r="E40" s="6">
        <v>42989</v>
      </c>
      <c r="F40" s="3" t="s">
        <v>644</v>
      </c>
      <c r="G40" s="11">
        <v>276.3</v>
      </c>
      <c r="H40" s="3" t="s">
        <v>319</v>
      </c>
      <c r="I40" s="3" t="str">
        <f t="shared" si="0"/>
        <v>Sep</v>
      </c>
    </row>
    <row r="41" spans="1:9" x14ac:dyDescent="0.25">
      <c r="A41">
        <v>10672</v>
      </c>
      <c r="B41" t="s">
        <v>42</v>
      </c>
      <c r="C41" s="6">
        <v>42995</v>
      </c>
      <c r="D41" s="6">
        <v>43009</v>
      </c>
      <c r="E41" s="6">
        <v>43004</v>
      </c>
      <c r="F41" s="3" t="s">
        <v>645</v>
      </c>
      <c r="G41" s="11">
        <v>478.75</v>
      </c>
      <c r="H41" s="3" t="s">
        <v>319</v>
      </c>
      <c r="I41" s="3" t="str">
        <f t="shared" si="0"/>
        <v>Sep</v>
      </c>
    </row>
    <row r="42" spans="1:9" x14ac:dyDescent="0.25">
      <c r="A42">
        <v>10689</v>
      </c>
      <c r="B42" t="s">
        <v>42</v>
      </c>
      <c r="C42" s="6">
        <v>43009</v>
      </c>
      <c r="D42" s="6">
        <v>43037</v>
      </c>
      <c r="E42" s="6">
        <v>43015</v>
      </c>
      <c r="F42" s="3" t="s">
        <v>645</v>
      </c>
      <c r="G42" s="11">
        <v>67.099999999999994</v>
      </c>
      <c r="H42" s="3" t="s">
        <v>319</v>
      </c>
      <c r="I42" s="3" t="str">
        <f t="shared" si="0"/>
        <v>Oct</v>
      </c>
    </row>
    <row r="43" spans="1:9" x14ac:dyDescent="0.25">
      <c r="A43">
        <v>10733</v>
      </c>
      <c r="B43" t="s">
        <v>42</v>
      </c>
      <c r="C43" s="6">
        <v>43046</v>
      </c>
      <c r="D43" s="6">
        <v>43074</v>
      </c>
      <c r="E43" s="6">
        <v>43049</v>
      </c>
      <c r="F43" s="3" t="s">
        <v>646</v>
      </c>
      <c r="G43" s="11">
        <v>550.54999999999995</v>
      </c>
      <c r="H43" s="3" t="s">
        <v>319</v>
      </c>
      <c r="I43" s="3" t="str">
        <f t="shared" si="0"/>
        <v>Nov</v>
      </c>
    </row>
    <row r="44" spans="1:9" x14ac:dyDescent="0.25">
      <c r="A44">
        <v>10778</v>
      </c>
      <c r="B44" t="s">
        <v>42</v>
      </c>
      <c r="C44" s="6">
        <v>43085</v>
      </c>
      <c r="D44" s="6">
        <v>43113</v>
      </c>
      <c r="E44" s="6">
        <v>43093</v>
      </c>
      <c r="F44" s="3" t="s">
        <v>644</v>
      </c>
      <c r="G44" s="11">
        <v>33.950000000000003</v>
      </c>
      <c r="H44" s="3" t="s">
        <v>319</v>
      </c>
      <c r="I44" s="3" t="str">
        <f t="shared" si="0"/>
        <v>Dec</v>
      </c>
    </row>
    <row r="45" spans="1:9" x14ac:dyDescent="0.25">
      <c r="A45">
        <v>10837</v>
      </c>
      <c r="B45" t="s">
        <v>42</v>
      </c>
      <c r="C45" s="6">
        <v>43116</v>
      </c>
      <c r="D45" s="6">
        <v>43144</v>
      </c>
      <c r="E45" s="6">
        <v>43123</v>
      </c>
      <c r="F45" s="3" t="s">
        <v>646</v>
      </c>
      <c r="G45" s="11">
        <v>66.599999999999994</v>
      </c>
      <c r="H45" s="3" t="s">
        <v>319</v>
      </c>
      <c r="I45" s="3" t="str">
        <f t="shared" si="0"/>
        <v>Jan</v>
      </c>
    </row>
    <row r="46" spans="1:9" x14ac:dyDescent="0.25">
      <c r="A46">
        <v>10857</v>
      </c>
      <c r="B46" t="s">
        <v>42</v>
      </c>
      <c r="C46" s="6">
        <v>43128</v>
      </c>
      <c r="D46" s="6">
        <v>43156</v>
      </c>
      <c r="E46" s="6">
        <v>43137</v>
      </c>
      <c r="F46" s="3" t="s">
        <v>645</v>
      </c>
      <c r="G46" s="11">
        <v>944.25</v>
      </c>
      <c r="H46" s="3" t="s">
        <v>319</v>
      </c>
      <c r="I46" s="3" t="str">
        <f t="shared" si="0"/>
        <v>Jan</v>
      </c>
    </row>
    <row r="47" spans="1:9" x14ac:dyDescent="0.25">
      <c r="A47">
        <v>10866</v>
      </c>
      <c r="B47" t="s">
        <v>42</v>
      </c>
      <c r="C47" s="6">
        <v>43134</v>
      </c>
      <c r="D47" s="6">
        <v>43162</v>
      </c>
      <c r="E47" s="6">
        <v>43143</v>
      </c>
      <c r="F47" s="3" t="s">
        <v>644</v>
      </c>
      <c r="G47" s="11">
        <v>545.54999999999995</v>
      </c>
      <c r="H47" s="3" t="s">
        <v>319</v>
      </c>
      <c r="I47" s="3" t="str">
        <f t="shared" si="0"/>
        <v>Feb</v>
      </c>
    </row>
    <row r="48" spans="1:9" x14ac:dyDescent="0.25">
      <c r="A48">
        <v>10875</v>
      </c>
      <c r="B48" t="s">
        <v>42</v>
      </c>
      <c r="C48" s="6">
        <v>43137</v>
      </c>
      <c r="D48" s="6">
        <v>43165</v>
      </c>
      <c r="E48" s="6">
        <v>43162</v>
      </c>
      <c r="F48" s="3" t="s">
        <v>645</v>
      </c>
      <c r="G48" s="11">
        <v>161.85</v>
      </c>
      <c r="H48" s="3" t="s">
        <v>319</v>
      </c>
      <c r="I48" s="3" t="str">
        <f t="shared" si="0"/>
        <v>Feb</v>
      </c>
    </row>
    <row r="49" spans="1:9" x14ac:dyDescent="0.25">
      <c r="A49">
        <v>10924</v>
      </c>
      <c r="B49" t="s">
        <v>42</v>
      </c>
      <c r="C49" s="6">
        <v>43163</v>
      </c>
      <c r="D49" s="6">
        <v>43191</v>
      </c>
      <c r="E49" s="6">
        <v>43198</v>
      </c>
      <c r="F49" s="3" t="s">
        <v>645</v>
      </c>
      <c r="G49" s="11">
        <v>757.6</v>
      </c>
      <c r="H49" s="3" t="s">
        <v>319</v>
      </c>
      <c r="I49" s="3" t="str">
        <f t="shared" si="0"/>
        <v>Mar</v>
      </c>
    </row>
    <row r="50" spans="1:9" x14ac:dyDescent="0.25">
      <c r="A50">
        <v>10501</v>
      </c>
      <c r="B50" t="s">
        <v>46</v>
      </c>
      <c r="C50" s="6">
        <v>42834</v>
      </c>
      <c r="D50" s="6">
        <v>42862</v>
      </c>
      <c r="E50" s="6">
        <v>42841</v>
      </c>
      <c r="F50" s="3" t="s">
        <v>646</v>
      </c>
      <c r="G50" s="11">
        <v>44.25</v>
      </c>
      <c r="H50" s="3" t="s">
        <v>320</v>
      </c>
      <c r="I50" s="3" t="str">
        <f t="shared" si="0"/>
        <v>Apr</v>
      </c>
    </row>
    <row r="51" spans="1:9" x14ac:dyDescent="0.25">
      <c r="A51">
        <v>10509</v>
      </c>
      <c r="B51" t="s">
        <v>46</v>
      </c>
      <c r="C51" s="6">
        <v>42842</v>
      </c>
      <c r="D51" s="6">
        <v>42870</v>
      </c>
      <c r="E51" s="6">
        <v>42854</v>
      </c>
      <c r="F51" s="3" t="s">
        <v>644</v>
      </c>
      <c r="G51" s="11">
        <v>0.75</v>
      </c>
      <c r="H51" s="3" t="s">
        <v>320</v>
      </c>
      <c r="I51" s="3" t="str">
        <f t="shared" si="0"/>
        <v>Apr</v>
      </c>
    </row>
    <row r="52" spans="1:9" x14ac:dyDescent="0.25">
      <c r="A52">
        <v>10582</v>
      </c>
      <c r="B52" t="s">
        <v>46</v>
      </c>
      <c r="C52" s="6">
        <v>42913</v>
      </c>
      <c r="D52" s="6">
        <v>42941</v>
      </c>
      <c r="E52" s="6">
        <v>42930</v>
      </c>
      <c r="F52" s="3" t="s">
        <v>645</v>
      </c>
      <c r="G52" s="11">
        <v>138.55000000000001</v>
      </c>
      <c r="H52" s="3" t="s">
        <v>320</v>
      </c>
      <c r="I52" s="3" t="str">
        <f t="shared" si="0"/>
        <v>Jun</v>
      </c>
    </row>
    <row r="53" spans="1:9" x14ac:dyDescent="0.25">
      <c r="A53">
        <v>10614</v>
      </c>
      <c r="B53" t="s">
        <v>46</v>
      </c>
      <c r="C53" s="6">
        <v>42945</v>
      </c>
      <c r="D53" s="6">
        <v>42973</v>
      </c>
      <c r="E53" s="6">
        <v>42948</v>
      </c>
      <c r="F53" s="3" t="s">
        <v>646</v>
      </c>
      <c r="G53" s="11">
        <v>9.65</v>
      </c>
      <c r="H53" s="3" t="s">
        <v>320</v>
      </c>
      <c r="I53" s="3" t="str">
        <f t="shared" si="0"/>
        <v>Jul</v>
      </c>
    </row>
    <row r="54" spans="1:9" x14ac:dyDescent="0.25">
      <c r="A54">
        <v>10853</v>
      </c>
      <c r="B54" t="s">
        <v>46</v>
      </c>
      <c r="C54" s="6">
        <v>43127</v>
      </c>
      <c r="D54" s="6">
        <v>43155</v>
      </c>
      <c r="E54" s="6">
        <v>43134</v>
      </c>
      <c r="F54" s="3" t="s">
        <v>645</v>
      </c>
      <c r="G54" s="11">
        <v>269.14999999999998</v>
      </c>
      <c r="H54" s="3" t="s">
        <v>320</v>
      </c>
      <c r="I54" s="3" t="str">
        <f t="shared" si="0"/>
        <v>Jan</v>
      </c>
    </row>
    <row r="55" spans="1:9" x14ac:dyDescent="0.25">
      <c r="A55">
        <v>10956</v>
      </c>
      <c r="B55" t="s">
        <v>46</v>
      </c>
      <c r="C55" s="6">
        <v>43176</v>
      </c>
      <c r="D55" s="6">
        <v>43218</v>
      </c>
      <c r="E55" s="6">
        <v>43179</v>
      </c>
      <c r="F55" s="3" t="s">
        <v>645</v>
      </c>
      <c r="G55" s="11">
        <v>223.25</v>
      </c>
      <c r="H55" s="3" t="s">
        <v>320</v>
      </c>
      <c r="I55" s="3" t="str">
        <f t="shared" si="0"/>
        <v>Mar</v>
      </c>
    </row>
    <row r="56" spans="1:9" x14ac:dyDescent="0.25">
      <c r="A56">
        <v>11058</v>
      </c>
      <c r="B56" t="s">
        <v>46</v>
      </c>
      <c r="C56" s="6">
        <v>43219</v>
      </c>
      <c r="D56" s="6">
        <v>43247</v>
      </c>
      <c r="E56" s="6"/>
      <c r="F56" s="3" t="s">
        <v>646</v>
      </c>
      <c r="G56" s="11">
        <v>155.69999999999999</v>
      </c>
      <c r="H56" s="3" t="s">
        <v>320</v>
      </c>
      <c r="I56" s="3" t="str">
        <f t="shared" si="0"/>
        <v>Apr</v>
      </c>
    </row>
    <row r="57" spans="1:9" x14ac:dyDescent="0.25">
      <c r="A57">
        <v>10265</v>
      </c>
      <c r="B57" t="s">
        <v>49</v>
      </c>
      <c r="C57" s="6">
        <v>42576</v>
      </c>
      <c r="D57" s="6">
        <v>42604</v>
      </c>
      <c r="E57" s="6">
        <v>42594</v>
      </c>
      <c r="F57" s="3" t="s">
        <v>644</v>
      </c>
      <c r="G57" s="11">
        <v>276.39999999999998</v>
      </c>
      <c r="H57" s="3" t="s">
        <v>321</v>
      </c>
      <c r="I57" s="3" t="str">
        <f t="shared" si="0"/>
        <v>Jul</v>
      </c>
    </row>
    <row r="58" spans="1:9" x14ac:dyDescent="0.25">
      <c r="A58">
        <v>10297</v>
      </c>
      <c r="B58" t="s">
        <v>49</v>
      </c>
      <c r="C58" s="6">
        <v>42617</v>
      </c>
      <c r="D58" s="6">
        <v>42659</v>
      </c>
      <c r="E58" s="6">
        <v>42623</v>
      </c>
      <c r="F58" s="3" t="s">
        <v>645</v>
      </c>
      <c r="G58" s="11">
        <v>28.700000000000003</v>
      </c>
      <c r="H58" s="3" t="s">
        <v>321</v>
      </c>
      <c r="I58" s="3" t="str">
        <f t="shared" si="0"/>
        <v>Sep</v>
      </c>
    </row>
    <row r="59" spans="1:9" x14ac:dyDescent="0.25">
      <c r="A59">
        <v>10360</v>
      </c>
      <c r="B59" t="s">
        <v>49</v>
      </c>
      <c r="C59" s="6">
        <v>42696</v>
      </c>
      <c r="D59" s="6">
        <v>42724</v>
      </c>
      <c r="E59" s="6">
        <v>42706</v>
      </c>
      <c r="F59" s="3" t="s">
        <v>646</v>
      </c>
      <c r="G59" s="11">
        <v>658.5</v>
      </c>
      <c r="H59" s="3" t="s">
        <v>321</v>
      </c>
      <c r="I59" s="3" t="str">
        <f t="shared" si="0"/>
        <v>Nov</v>
      </c>
    </row>
    <row r="60" spans="1:9" x14ac:dyDescent="0.25">
      <c r="A60">
        <v>10436</v>
      </c>
      <c r="B60" t="s">
        <v>49</v>
      </c>
      <c r="C60" s="6">
        <v>42771</v>
      </c>
      <c r="D60" s="6">
        <v>42799</v>
      </c>
      <c r="E60" s="6">
        <v>42777</v>
      </c>
      <c r="F60" s="3" t="s">
        <v>645</v>
      </c>
      <c r="G60" s="11">
        <v>783.3</v>
      </c>
      <c r="H60" s="3" t="s">
        <v>321</v>
      </c>
      <c r="I60" s="3" t="str">
        <f t="shared" si="0"/>
        <v>Feb</v>
      </c>
    </row>
    <row r="61" spans="1:9" x14ac:dyDescent="0.25">
      <c r="A61">
        <v>10449</v>
      </c>
      <c r="B61" t="s">
        <v>49</v>
      </c>
      <c r="C61" s="6">
        <v>42784</v>
      </c>
      <c r="D61" s="6">
        <v>42812</v>
      </c>
      <c r="E61" s="6">
        <v>42793</v>
      </c>
      <c r="F61" s="3" t="s">
        <v>645</v>
      </c>
      <c r="G61" s="11">
        <v>266.5</v>
      </c>
      <c r="H61" s="3" t="s">
        <v>321</v>
      </c>
      <c r="I61" s="3" t="str">
        <f t="shared" si="0"/>
        <v>Feb</v>
      </c>
    </row>
    <row r="62" spans="1:9" x14ac:dyDescent="0.25">
      <c r="A62">
        <v>10559</v>
      </c>
      <c r="B62" t="s">
        <v>49</v>
      </c>
      <c r="C62" s="6">
        <v>42891</v>
      </c>
      <c r="D62" s="6">
        <v>42919</v>
      </c>
      <c r="E62" s="6">
        <v>42899</v>
      </c>
      <c r="F62" s="3" t="s">
        <v>644</v>
      </c>
      <c r="G62" s="11">
        <v>40.25</v>
      </c>
      <c r="H62" s="3" t="s">
        <v>321</v>
      </c>
      <c r="I62" s="3" t="str">
        <f t="shared" si="0"/>
        <v>Jun</v>
      </c>
    </row>
    <row r="63" spans="1:9" x14ac:dyDescent="0.25">
      <c r="A63">
        <v>10566</v>
      </c>
      <c r="B63" t="s">
        <v>49</v>
      </c>
      <c r="C63" s="6">
        <v>42898</v>
      </c>
      <c r="D63" s="6">
        <v>42926</v>
      </c>
      <c r="E63" s="6">
        <v>42904</v>
      </c>
      <c r="F63" s="3" t="s">
        <v>644</v>
      </c>
      <c r="G63" s="11">
        <v>442</v>
      </c>
      <c r="H63" s="3" t="s">
        <v>321</v>
      </c>
      <c r="I63" s="3" t="str">
        <f t="shared" si="0"/>
        <v>Jun</v>
      </c>
    </row>
    <row r="64" spans="1:9" x14ac:dyDescent="0.25">
      <c r="A64">
        <v>10584</v>
      </c>
      <c r="B64" t="s">
        <v>49</v>
      </c>
      <c r="C64" s="6">
        <v>42916</v>
      </c>
      <c r="D64" s="6">
        <v>42944</v>
      </c>
      <c r="E64" s="6">
        <v>42920</v>
      </c>
      <c r="F64" s="3" t="s">
        <v>644</v>
      </c>
      <c r="G64" s="11">
        <v>295.7</v>
      </c>
      <c r="H64" s="3" t="s">
        <v>321</v>
      </c>
      <c r="I64" s="3" t="str">
        <f t="shared" si="0"/>
        <v>Jun</v>
      </c>
    </row>
    <row r="65" spans="1:9" x14ac:dyDescent="0.25">
      <c r="A65">
        <v>10628</v>
      </c>
      <c r="B65" t="s">
        <v>49</v>
      </c>
      <c r="C65" s="6">
        <v>42959</v>
      </c>
      <c r="D65" s="6">
        <v>42987</v>
      </c>
      <c r="E65" s="6">
        <v>42967</v>
      </c>
      <c r="F65" s="3" t="s">
        <v>646</v>
      </c>
      <c r="G65" s="11">
        <v>151.80000000000001</v>
      </c>
      <c r="H65" s="3" t="s">
        <v>321</v>
      </c>
      <c r="I65" s="3" t="str">
        <f t="shared" si="0"/>
        <v>Aug</v>
      </c>
    </row>
    <row r="66" spans="1:9" x14ac:dyDescent="0.25">
      <c r="A66">
        <v>10679</v>
      </c>
      <c r="B66" t="s">
        <v>49</v>
      </c>
      <c r="C66" s="6">
        <v>43001</v>
      </c>
      <c r="D66" s="6">
        <v>43029</v>
      </c>
      <c r="E66" s="6">
        <v>43008</v>
      </c>
      <c r="F66" s="3" t="s">
        <v>646</v>
      </c>
      <c r="G66" s="11">
        <v>139.70000000000002</v>
      </c>
      <c r="H66" s="3" t="s">
        <v>321</v>
      </c>
      <c r="I66" s="3" t="str">
        <f t="shared" si="0"/>
        <v>Sep</v>
      </c>
    </row>
    <row r="67" spans="1:9" x14ac:dyDescent="0.25">
      <c r="A67">
        <v>10826</v>
      </c>
      <c r="B67" t="s">
        <v>49</v>
      </c>
      <c r="C67" s="6">
        <v>43112</v>
      </c>
      <c r="D67" s="6">
        <v>43140</v>
      </c>
      <c r="E67" s="6">
        <v>43137</v>
      </c>
      <c r="F67" s="3" t="s">
        <v>644</v>
      </c>
      <c r="G67" s="11">
        <v>35.450000000000003</v>
      </c>
      <c r="H67" s="3" t="s">
        <v>321</v>
      </c>
      <c r="I67" s="3" t="str">
        <f t="shared" ref="I67:I130" si="1">TEXT(C67,"mmm")</f>
        <v>Jan</v>
      </c>
    </row>
    <row r="68" spans="1:9" x14ac:dyDescent="0.25">
      <c r="A68">
        <v>10326</v>
      </c>
      <c r="B68" t="s">
        <v>53</v>
      </c>
      <c r="C68" s="6">
        <v>42653</v>
      </c>
      <c r="D68" s="6">
        <v>42681</v>
      </c>
      <c r="E68" s="6">
        <v>42657</v>
      </c>
      <c r="F68" s="3" t="s">
        <v>645</v>
      </c>
      <c r="G68" s="11">
        <v>389.6</v>
      </c>
      <c r="H68" s="3" t="s">
        <v>322</v>
      </c>
      <c r="I68" s="3" t="str">
        <f t="shared" si="1"/>
        <v>Oct</v>
      </c>
    </row>
    <row r="69" spans="1:9" x14ac:dyDescent="0.25">
      <c r="A69">
        <v>10801</v>
      </c>
      <c r="B69" t="s">
        <v>53</v>
      </c>
      <c r="C69" s="6">
        <v>43098</v>
      </c>
      <c r="D69" s="6">
        <v>43126</v>
      </c>
      <c r="E69" s="6">
        <v>43100</v>
      </c>
      <c r="F69" s="3" t="s">
        <v>645</v>
      </c>
      <c r="G69" s="11">
        <v>485.45000000000005</v>
      </c>
      <c r="H69" s="3" t="s">
        <v>322</v>
      </c>
      <c r="I69" s="3" t="str">
        <f t="shared" si="1"/>
        <v>Dec</v>
      </c>
    </row>
    <row r="70" spans="1:9" x14ac:dyDescent="0.25">
      <c r="A70">
        <v>10970</v>
      </c>
      <c r="B70" t="s">
        <v>53</v>
      </c>
      <c r="C70" s="6">
        <v>43183</v>
      </c>
      <c r="D70" s="6">
        <v>43197</v>
      </c>
      <c r="E70" s="6">
        <v>43214</v>
      </c>
      <c r="F70" s="3" t="s">
        <v>644</v>
      </c>
      <c r="G70" s="11">
        <v>80.8</v>
      </c>
      <c r="H70" s="3" t="s">
        <v>322</v>
      </c>
      <c r="I70" s="3" t="str">
        <f t="shared" si="1"/>
        <v>Mar</v>
      </c>
    </row>
    <row r="71" spans="1:9" x14ac:dyDescent="0.25">
      <c r="A71">
        <v>10331</v>
      </c>
      <c r="B71" t="s">
        <v>56</v>
      </c>
      <c r="C71" s="6">
        <v>42659</v>
      </c>
      <c r="D71" s="6">
        <v>42701</v>
      </c>
      <c r="E71" s="6">
        <v>42664</v>
      </c>
      <c r="F71" s="3" t="s">
        <v>644</v>
      </c>
      <c r="G71" s="11">
        <v>50.949999999999996</v>
      </c>
      <c r="H71" s="3" t="s">
        <v>324</v>
      </c>
      <c r="I71" s="3" t="str">
        <f t="shared" si="1"/>
        <v>Oct</v>
      </c>
    </row>
    <row r="72" spans="1:9" x14ac:dyDescent="0.25">
      <c r="A72">
        <v>10340</v>
      </c>
      <c r="B72" t="s">
        <v>56</v>
      </c>
      <c r="C72" s="6">
        <v>42672</v>
      </c>
      <c r="D72" s="6">
        <v>42700</v>
      </c>
      <c r="E72" s="6">
        <v>42682</v>
      </c>
      <c r="F72" s="3" t="s">
        <v>646</v>
      </c>
      <c r="G72" s="11">
        <v>831.55</v>
      </c>
      <c r="H72" s="3" t="s">
        <v>324</v>
      </c>
      <c r="I72" s="3" t="str">
        <f t="shared" si="1"/>
        <v>Oct</v>
      </c>
    </row>
    <row r="73" spans="1:9" x14ac:dyDescent="0.25">
      <c r="A73">
        <v>10362</v>
      </c>
      <c r="B73" t="s">
        <v>56</v>
      </c>
      <c r="C73" s="6">
        <v>42699</v>
      </c>
      <c r="D73" s="6">
        <v>42727</v>
      </c>
      <c r="E73" s="6">
        <v>42702</v>
      </c>
      <c r="F73" s="3" t="s">
        <v>644</v>
      </c>
      <c r="G73" s="11">
        <v>480.20000000000005</v>
      </c>
      <c r="H73" s="3" t="s">
        <v>324</v>
      </c>
      <c r="I73" s="3" t="str">
        <f t="shared" si="1"/>
        <v>Nov</v>
      </c>
    </row>
    <row r="74" spans="1:9" x14ac:dyDescent="0.25">
      <c r="A74">
        <v>10470</v>
      </c>
      <c r="B74" t="s">
        <v>56</v>
      </c>
      <c r="C74" s="6">
        <v>42805</v>
      </c>
      <c r="D74" s="6">
        <v>42833</v>
      </c>
      <c r="E74" s="6">
        <v>42808</v>
      </c>
      <c r="F74" s="3" t="s">
        <v>645</v>
      </c>
      <c r="G74" s="11">
        <v>322.8</v>
      </c>
      <c r="H74" s="3" t="s">
        <v>324</v>
      </c>
      <c r="I74" s="3" t="str">
        <f t="shared" si="1"/>
        <v>Mar</v>
      </c>
    </row>
    <row r="75" spans="1:9" x14ac:dyDescent="0.25">
      <c r="A75">
        <v>10511</v>
      </c>
      <c r="B75" t="s">
        <v>56</v>
      </c>
      <c r="C75" s="6">
        <v>42843</v>
      </c>
      <c r="D75" s="6">
        <v>42871</v>
      </c>
      <c r="E75" s="6">
        <v>42846</v>
      </c>
      <c r="F75" s="3" t="s">
        <v>646</v>
      </c>
      <c r="G75" s="11">
        <v>1753.1999999999998</v>
      </c>
      <c r="H75" s="3" t="s">
        <v>324</v>
      </c>
      <c r="I75" s="3" t="str">
        <f t="shared" si="1"/>
        <v>Apr</v>
      </c>
    </row>
    <row r="76" spans="1:9" x14ac:dyDescent="0.25">
      <c r="A76">
        <v>10525</v>
      </c>
      <c r="B76" t="s">
        <v>56</v>
      </c>
      <c r="C76" s="6">
        <v>42857</v>
      </c>
      <c r="D76" s="6">
        <v>42885</v>
      </c>
      <c r="E76" s="6">
        <v>42878</v>
      </c>
      <c r="F76" s="3" t="s">
        <v>645</v>
      </c>
      <c r="G76" s="11">
        <v>55.300000000000004</v>
      </c>
      <c r="H76" s="3" t="s">
        <v>324</v>
      </c>
      <c r="I76" s="3" t="str">
        <f t="shared" si="1"/>
        <v>May</v>
      </c>
    </row>
    <row r="77" spans="1:9" x14ac:dyDescent="0.25">
      <c r="A77">
        <v>10663</v>
      </c>
      <c r="B77" t="s">
        <v>56</v>
      </c>
      <c r="C77" s="6">
        <v>42988</v>
      </c>
      <c r="D77" s="6">
        <v>43002</v>
      </c>
      <c r="E77" s="6">
        <v>43011</v>
      </c>
      <c r="F77" s="3" t="s">
        <v>645</v>
      </c>
      <c r="G77" s="11">
        <v>565.75</v>
      </c>
      <c r="H77" s="3" t="s">
        <v>324</v>
      </c>
      <c r="I77" s="3" t="str">
        <f t="shared" si="1"/>
        <v>Sep</v>
      </c>
    </row>
    <row r="78" spans="1:9" x14ac:dyDescent="0.25">
      <c r="A78">
        <v>10715</v>
      </c>
      <c r="B78" t="s">
        <v>56</v>
      </c>
      <c r="C78" s="6">
        <v>43031</v>
      </c>
      <c r="D78" s="6">
        <v>43045</v>
      </c>
      <c r="E78" s="6">
        <v>43037</v>
      </c>
      <c r="F78" s="3" t="s">
        <v>644</v>
      </c>
      <c r="G78" s="11">
        <v>316</v>
      </c>
      <c r="H78" s="3" t="s">
        <v>324</v>
      </c>
      <c r="I78" s="3" t="str">
        <f t="shared" si="1"/>
        <v>Oct</v>
      </c>
    </row>
    <row r="79" spans="1:9" x14ac:dyDescent="0.25">
      <c r="A79">
        <v>10730</v>
      </c>
      <c r="B79" t="s">
        <v>56</v>
      </c>
      <c r="C79" s="6">
        <v>43044</v>
      </c>
      <c r="D79" s="6">
        <v>43072</v>
      </c>
      <c r="E79" s="6">
        <v>43053</v>
      </c>
      <c r="F79" s="3" t="s">
        <v>644</v>
      </c>
      <c r="G79" s="11">
        <v>100.60000000000001</v>
      </c>
      <c r="H79" s="3" t="s">
        <v>324</v>
      </c>
      <c r="I79" s="3" t="str">
        <f t="shared" si="1"/>
        <v>Nov</v>
      </c>
    </row>
    <row r="80" spans="1:9" x14ac:dyDescent="0.25">
      <c r="A80">
        <v>10732</v>
      </c>
      <c r="B80" t="s">
        <v>56</v>
      </c>
      <c r="C80" s="6">
        <v>43045</v>
      </c>
      <c r="D80" s="6">
        <v>43073</v>
      </c>
      <c r="E80" s="6">
        <v>43046</v>
      </c>
      <c r="F80" s="3" t="s">
        <v>644</v>
      </c>
      <c r="G80" s="11">
        <v>84.85</v>
      </c>
      <c r="H80" s="3" t="s">
        <v>324</v>
      </c>
      <c r="I80" s="3" t="str">
        <f t="shared" si="1"/>
        <v>Nov</v>
      </c>
    </row>
    <row r="81" spans="1:9" x14ac:dyDescent="0.25">
      <c r="A81">
        <v>10755</v>
      </c>
      <c r="B81" t="s">
        <v>56</v>
      </c>
      <c r="C81" s="6">
        <v>43065</v>
      </c>
      <c r="D81" s="6">
        <v>43093</v>
      </c>
      <c r="E81" s="6">
        <v>43067</v>
      </c>
      <c r="F81" s="3" t="s">
        <v>645</v>
      </c>
      <c r="G81" s="11">
        <v>83.550000000000011</v>
      </c>
      <c r="H81" s="3" t="s">
        <v>324</v>
      </c>
      <c r="I81" s="3" t="str">
        <f t="shared" si="1"/>
        <v>Nov</v>
      </c>
    </row>
    <row r="82" spans="1:9" x14ac:dyDescent="0.25">
      <c r="A82">
        <v>10827</v>
      </c>
      <c r="B82" t="s">
        <v>56</v>
      </c>
      <c r="C82" s="6">
        <v>43112</v>
      </c>
      <c r="D82" s="6">
        <v>43126</v>
      </c>
      <c r="E82" s="6">
        <v>43137</v>
      </c>
      <c r="F82" s="3" t="s">
        <v>645</v>
      </c>
      <c r="G82" s="11">
        <v>317.7</v>
      </c>
      <c r="H82" s="3" t="s">
        <v>324</v>
      </c>
      <c r="I82" s="3" t="str">
        <f t="shared" si="1"/>
        <v>Jan</v>
      </c>
    </row>
    <row r="83" spans="1:9" x14ac:dyDescent="0.25">
      <c r="A83">
        <v>10871</v>
      </c>
      <c r="B83" t="s">
        <v>56</v>
      </c>
      <c r="C83" s="6">
        <v>43136</v>
      </c>
      <c r="D83" s="6">
        <v>43164</v>
      </c>
      <c r="E83" s="6">
        <v>43141</v>
      </c>
      <c r="F83" s="3" t="s">
        <v>645</v>
      </c>
      <c r="G83" s="11">
        <v>561.35</v>
      </c>
      <c r="H83" s="3" t="s">
        <v>324</v>
      </c>
      <c r="I83" s="3" t="str">
        <f t="shared" si="1"/>
        <v>Feb</v>
      </c>
    </row>
    <row r="84" spans="1:9" x14ac:dyDescent="0.25">
      <c r="A84">
        <v>10876</v>
      </c>
      <c r="B84" t="s">
        <v>56</v>
      </c>
      <c r="C84" s="6">
        <v>43140</v>
      </c>
      <c r="D84" s="6">
        <v>43168</v>
      </c>
      <c r="E84" s="6">
        <v>43143</v>
      </c>
      <c r="F84" s="3" t="s">
        <v>646</v>
      </c>
      <c r="G84" s="11">
        <v>302.10000000000002</v>
      </c>
      <c r="H84" s="3" t="s">
        <v>324</v>
      </c>
      <c r="I84" s="3" t="str">
        <f t="shared" si="1"/>
        <v>Feb</v>
      </c>
    </row>
    <row r="85" spans="1:9" x14ac:dyDescent="0.25">
      <c r="A85">
        <v>10932</v>
      </c>
      <c r="B85" t="s">
        <v>56</v>
      </c>
      <c r="C85" s="6">
        <v>43165</v>
      </c>
      <c r="D85" s="6">
        <v>43193</v>
      </c>
      <c r="E85" s="6">
        <v>43183</v>
      </c>
      <c r="F85" s="3" t="s">
        <v>644</v>
      </c>
      <c r="G85" s="11">
        <v>673.19999999999993</v>
      </c>
      <c r="H85" s="3" t="s">
        <v>324</v>
      </c>
      <c r="I85" s="3" t="str">
        <f t="shared" si="1"/>
        <v>Mar</v>
      </c>
    </row>
    <row r="86" spans="1:9" x14ac:dyDescent="0.25">
      <c r="A86">
        <v>10940</v>
      </c>
      <c r="B86" t="s">
        <v>56</v>
      </c>
      <c r="C86" s="6">
        <v>43170</v>
      </c>
      <c r="D86" s="6">
        <v>43198</v>
      </c>
      <c r="E86" s="6">
        <v>43182</v>
      </c>
      <c r="F86" s="3" t="s">
        <v>646</v>
      </c>
      <c r="G86" s="11">
        <v>98.85</v>
      </c>
      <c r="H86" s="3" t="s">
        <v>324</v>
      </c>
      <c r="I86" s="3" t="str">
        <f t="shared" si="1"/>
        <v>Mar</v>
      </c>
    </row>
    <row r="87" spans="1:9" x14ac:dyDescent="0.25">
      <c r="A87">
        <v>11076</v>
      </c>
      <c r="B87" t="s">
        <v>56</v>
      </c>
      <c r="C87" s="6">
        <v>43226</v>
      </c>
      <c r="D87" s="6">
        <v>43254</v>
      </c>
      <c r="E87" s="6"/>
      <c r="F87" s="3" t="s">
        <v>645</v>
      </c>
      <c r="G87" s="11">
        <v>191.4</v>
      </c>
      <c r="H87" s="3" t="s">
        <v>324</v>
      </c>
      <c r="I87" s="3" t="str">
        <f t="shared" si="1"/>
        <v>May</v>
      </c>
    </row>
    <row r="88" spans="1:9" x14ac:dyDescent="0.25">
      <c r="A88">
        <v>10389</v>
      </c>
      <c r="B88" t="s">
        <v>59</v>
      </c>
      <c r="C88" s="6">
        <v>42724</v>
      </c>
      <c r="D88" s="6">
        <v>42752</v>
      </c>
      <c r="E88" s="6">
        <v>42728</v>
      </c>
      <c r="F88" s="3" t="s">
        <v>645</v>
      </c>
      <c r="G88" s="11">
        <v>237.10000000000002</v>
      </c>
      <c r="H88" s="3" t="s">
        <v>323</v>
      </c>
      <c r="I88" s="3" t="str">
        <f t="shared" si="1"/>
        <v>Dec</v>
      </c>
    </row>
    <row r="89" spans="1:9" x14ac:dyDescent="0.25">
      <c r="A89">
        <v>10410</v>
      </c>
      <c r="B89" t="s">
        <v>59</v>
      </c>
      <c r="C89" s="6">
        <v>42745</v>
      </c>
      <c r="D89" s="6">
        <v>42773</v>
      </c>
      <c r="E89" s="6">
        <v>42750</v>
      </c>
      <c r="F89" s="3" t="s">
        <v>646</v>
      </c>
      <c r="G89" s="11">
        <v>12</v>
      </c>
      <c r="H89" s="3" t="s">
        <v>323</v>
      </c>
      <c r="I89" s="3" t="str">
        <f t="shared" si="1"/>
        <v>Jan</v>
      </c>
    </row>
    <row r="90" spans="1:9" x14ac:dyDescent="0.25">
      <c r="A90">
        <v>10411</v>
      </c>
      <c r="B90" t="s">
        <v>59</v>
      </c>
      <c r="C90" s="6">
        <v>42745</v>
      </c>
      <c r="D90" s="6">
        <v>42773</v>
      </c>
      <c r="E90" s="6">
        <v>42756</v>
      </c>
      <c r="F90" s="3" t="s">
        <v>646</v>
      </c>
      <c r="G90" s="11">
        <v>118.25</v>
      </c>
      <c r="H90" s="3" t="s">
        <v>323</v>
      </c>
      <c r="I90" s="3" t="str">
        <f t="shared" si="1"/>
        <v>Jan</v>
      </c>
    </row>
    <row r="91" spans="1:9" x14ac:dyDescent="0.25">
      <c r="A91">
        <v>10431</v>
      </c>
      <c r="B91" t="s">
        <v>59</v>
      </c>
      <c r="C91" s="6">
        <v>42765</v>
      </c>
      <c r="D91" s="6">
        <v>42779</v>
      </c>
      <c r="E91" s="6">
        <v>42773</v>
      </c>
      <c r="F91" s="3" t="s">
        <v>645</v>
      </c>
      <c r="G91" s="11">
        <v>220.85000000000002</v>
      </c>
      <c r="H91" s="3" t="s">
        <v>323</v>
      </c>
      <c r="I91" s="3" t="str">
        <f t="shared" si="1"/>
        <v>Jan</v>
      </c>
    </row>
    <row r="92" spans="1:9" x14ac:dyDescent="0.25">
      <c r="A92">
        <v>10492</v>
      </c>
      <c r="B92" t="s">
        <v>59</v>
      </c>
      <c r="C92" s="6">
        <v>42826</v>
      </c>
      <c r="D92" s="6">
        <v>42854</v>
      </c>
      <c r="E92" s="6">
        <v>42836</v>
      </c>
      <c r="F92" s="3" t="s">
        <v>644</v>
      </c>
      <c r="G92" s="11">
        <v>314.45</v>
      </c>
      <c r="H92" s="3" t="s">
        <v>323</v>
      </c>
      <c r="I92" s="3" t="str">
        <f t="shared" si="1"/>
        <v>Apr</v>
      </c>
    </row>
    <row r="93" spans="1:9" x14ac:dyDescent="0.25">
      <c r="A93">
        <v>10742</v>
      </c>
      <c r="B93" t="s">
        <v>59</v>
      </c>
      <c r="C93" s="6">
        <v>43053</v>
      </c>
      <c r="D93" s="6">
        <v>43081</v>
      </c>
      <c r="E93" s="6">
        <v>43057</v>
      </c>
      <c r="F93" s="3" t="s">
        <v>646</v>
      </c>
      <c r="G93" s="11">
        <v>1218.6499999999999</v>
      </c>
      <c r="H93" s="3" t="s">
        <v>323</v>
      </c>
      <c r="I93" s="3" t="str">
        <f t="shared" si="1"/>
        <v>Nov</v>
      </c>
    </row>
    <row r="94" spans="1:9" x14ac:dyDescent="0.25">
      <c r="A94">
        <v>10918</v>
      </c>
      <c r="B94" t="s">
        <v>59</v>
      </c>
      <c r="C94" s="6">
        <v>43161</v>
      </c>
      <c r="D94" s="6">
        <v>43189</v>
      </c>
      <c r="E94" s="6">
        <v>43170</v>
      </c>
      <c r="F94" s="3" t="s">
        <v>646</v>
      </c>
      <c r="G94" s="11">
        <v>244.14999999999998</v>
      </c>
      <c r="H94" s="3" t="s">
        <v>323</v>
      </c>
      <c r="I94" s="3" t="str">
        <f t="shared" si="1"/>
        <v>Mar</v>
      </c>
    </row>
    <row r="95" spans="1:9" x14ac:dyDescent="0.25">
      <c r="A95">
        <v>10944</v>
      </c>
      <c r="B95" t="s">
        <v>59</v>
      </c>
      <c r="C95" s="6">
        <v>43171</v>
      </c>
      <c r="D95" s="6">
        <v>43185</v>
      </c>
      <c r="E95" s="6">
        <v>43172</v>
      </c>
      <c r="F95" s="3" t="s">
        <v>646</v>
      </c>
      <c r="G95" s="11">
        <v>264.60000000000002</v>
      </c>
      <c r="H95" s="3" t="s">
        <v>323</v>
      </c>
      <c r="I95" s="3" t="str">
        <f t="shared" si="1"/>
        <v>Mar</v>
      </c>
    </row>
    <row r="96" spans="1:9" x14ac:dyDescent="0.25">
      <c r="A96">
        <v>10949</v>
      </c>
      <c r="B96" t="s">
        <v>59</v>
      </c>
      <c r="C96" s="6">
        <v>43172</v>
      </c>
      <c r="D96" s="6">
        <v>43200</v>
      </c>
      <c r="E96" s="6">
        <v>43176</v>
      </c>
      <c r="F96" s="3" t="s">
        <v>646</v>
      </c>
      <c r="G96" s="11">
        <v>372.2</v>
      </c>
      <c r="H96" s="3" t="s">
        <v>323</v>
      </c>
      <c r="I96" s="3" t="str">
        <f t="shared" si="1"/>
        <v>Mar</v>
      </c>
    </row>
    <row r="97" spans="1:9" x14ac:dyDescent="0.25">
      <c r="A97">
        <v>10975</v>
      </c>
      <c r="B97" t="s">
        <v>59</v>
      </c>
      <c r="C97" s="6">
        <v>43184</v>
      </c>
      <c r="D97" s="6">
        <v>43212</v>
      </c>
      <c r="E97" s="6">
        <v>43186</v>
      </c>
      <c r="F97" s="3" t="s">
        <v>646</v>
      </c>
      <c r="G97" s="11">
        <v>161.35000000000002</v>
      </c>
      <c r="H97" s="3" t="s">
        <v>323</v>
      </c>
      <c r="I97" s="3" t="str">
        <f t="shared" si="1"/>
        <v>Mar</v>
      </c>
    </row>
    <row r="98" spans="1:9" x14ac:dyDescent="0.25">
      <c r="A98">
        <v>10982</v>
      </c>
      <c r="B98" t="s">
        <v>59</v>
      </c>
      <c r="C98" s="6">
        <v>43186</v>
      </c>
      <c r="D98" s="6">
        <v>43214</v>
      </c>
      <c r="E98" s="6">
        <v>43198</v>
      </c>
      <c r="F98" s="3" t="s">
        <v>644</v>
      </c>
      <c r="G98" s="11">
        <v>70.05</v>
      </c>
      <c r="H98" s="3" t="s">
        <v>323</v>
      </c>
      <c r="I98" s="3" t="str">
        <f t="shared" si="1"/>
        <v>Mar</v>
      </c>
    </row>
    <row r="99" spans="1:9" x14ac:dyDescent="0.25">
      <c r="A99">
        <v>11027</v>
      </c>
      <c r="B99" t="s">
        <v>59</v>
      </c>
      <c r="C99" s="6">
        <v>43206</v>
      </c>
      <c r="D99" s="6">
        <v>43234</v>
      </c>
      <c r="E99" s="6">
        <v>43210</v>
      </c>
      <c r="F99" s="3" t="s">
        <v>644</v>
      </c>
      <c r="G99" s="11">
        <v>262.60000000000002</v>
      </c>
      <c r="H99" s="3" t="s">
        <v>323</v>
      </c>
      <c r="I99" s="3" t="str">
        <f t="shared" si="1"/>
        <v>Apr</v>
      </c>
    </row>
    <row r="100" spans="1:9" x14ac:dyDescent="0.25">
      <c r="A100">
        <v>11045</v>
      </c>
      <c r="B100" t="s">
        <v>59</v>
      </c>
      <c r="C100" s="6">
        <v>43213</v>
      </c>
      <c r="D100" s="6">
        <v>43241</v>
      </c>
      <c r="E100" s="6"/>
      <c r="F100" s="3" t="s">
        <v>645</v>
      </c>
      <c r="G100" s="11">
        <v>352.9</v>
      </c>
      <c r="H100" s="3" t="s">
        <v>323</v>
      </c>
      <c r="I100" s="3" t="str">
        <f t="shared" si="1"/>
        <v>Apr</v>
      </c>
    </row>
    <row r="101" spans="1:9" x14ac:dyDescent="0.25">
      <c r="A101">
        <v>11048</v>
      </c>
      <c r="B101" t="s">
        <v>59</v>
      </c>
      <c r="C101" s="6">
        <v>43214</v>
      </c>
      <c r="D101" s="6">
        <v>43242</v>
      </c>
      <c r="E101" s="6">
        <v>43220</v>
      </c>
      <c r="F101" s="3" t="s">
        <v>646</v>
      </c>
      <c r="G101" s="11">
        <v>120.60000000000001</v>
      </c>
      <c r="H101" s="3" t="s">
        <v>323</v>
      </c>
      <c r="I101" s="3" t="str">
        <f t="shared" si="1"/>
        <v>Apr</v>
      </c>
    </row>
    <row r="102" spans="1:9" x14ac:dyDescent="0.25">
      <c r="A102">
        <v>10289</v>
      </c>
      <c r="B102" t="s">
        <v>63</v>
      </c>
      <c r="C102" s="6">
        <v>42608</v>
      </c>
      <c r="D102" s="6">
        <v>42636</v>
      </c>
      <c r="E102" s="6">
        <v>42610</v>
      </c>
      <c r="F102" s="3" t="s">
        <v>646</v>
      </c>
      <c r="G102" s="11">
        <v>113.85</v>
      </c>
      <c r="H102" s="3" t="s">
        <v>325</v>
      </c>
      <c r="I102" s="3" t="str">
        <f t="shared" si="1"/>
        <v>Aug</v>
      </c>
    </row>
    <row r="103" spans="1:9" x14ac:dyDescent="0.25">
      <c r="A103">
        <v>10471</v>
      </c>
      <c r="B103" t="s">
        <v>63</v>
      </c>
      <c r="C103" s="6">
        <v>42805</v>
      </c>
      <c r="D103" s="6">
        <v>42833</v>
      </c>
      <c r="E103" s="6">
        <v>42812</v>
      </c>
      <c r="F103" s="3" t="s">
        <v>646</v>
      </c>
      <c r="G103" s="11">
        <v>227.95000000000002</v>
      </c>
      <c r="H103" s="3" t="s">
        <v>325</v>
      </c>
      <c r="I103" s="3" t="str">
        <f t="shared" si="1"/>
        <v>Mar</v>
      </c>
    </row>
    <row r="104" spans="1:9" x14ac:dyDescent="0.25">
      <c r="A104">
        <v>10484</v>
      </c>
      <c r="B104" t="s">
        <v>63</v>
      </c>
      <c r="C104" s="6">
        <v>42818</v>
      </c>
      <c r="D104" s="6">
        <v>42846</v>
      </c>
      <c r="E104" s="6">
        <v>42826</v>
      </c>
      <c r="F104" s="3" t="s">
        <v>646</v>
      </c>
      <c r="G104" s="11">
        <v>34.4</v>
      </c>
      <c r="H104" s="3" t="s">
        <v>325</v>
      </c>
      <c r="I104" s="3" t="str">
        <f t="shared" si="1"/>
        <v>Mar</v>
      </c>
    </row>
    <row r="105" spans="1:9" x14ac:dyDescent="0.25">
      <c r="A105">
        <v>10538</v>
      </c>
      <c r="B105" t="s">
        <v>63</v>
      </c>
      <c r="C105" s="6">
        <v>42870</v>
      </c>
      <c r="D105" s="6">
        <v>42898</v>
      </c>
      <c r="E105" s="6">
        <v>42871</v>
      </c>
      <c r="F105" s="3" t="s">
        <v>646</v>
      </c>
      <c r="G105" s="11">
        <v>24.35</v>
      </c>
      <c r="H105" s="3" t="s">
        <v>325</v>
      </c>
      <c r="I105" s="3" t="str">
        <f t="shared" si="1"/>
        <v>May</v>
      </c>
    </row>
    <row r="106" spans="1:9" x14ac:dyDescent="0.25">
      <c r="A106">
        <v>10539</v>
      </c>
      <c r="B106" t="s">
        <v>63</v>
      </c>
      <c r="C106" s="6">
        <v>42871</v>
      </c>
      <c r="D106" s="6">
        <v>42899</v>
      </c>
      <c r="E106" s="6">
        <v>42878</v>
      </c>
      <c r="F106" s="3" t="s">
        <v>646</v>
      </c>
      <c r="G106" s="11">
        <v>61.8</v>
      </c>
      <c r="H106" s="3" t="s">
        <v>325</v>
      </c>
      <c r="I106" s="3" t="str">
        <f t="shared" si="1"/>
        <v>May</v>
      </c>
    </row>
    <row r="107" spans="1:9" x14ac:dyDescent="0.25">
      <c r="A107">
        <v>10578</v>
      </c>
      <c r="B107" t="s">
        <v>63</v>
      </c>
      <c r="C107" s="6">
        <v>42910</v>
      </c>
      <c r="D107" s="6">
        <v>42938</v>
      </c>
      <c r="E107" s="6">
        <v>42941</v>
      </c>
      <c r="F107" s="3" t="s">
        <v>646</v>
      </c>
      <c r="G107" s="11">
        <v>148</v>
      </c>
      <c r="H107" s="3" t="s">
        <v>325</v>
      </c>
      <c r="I107" s="3" t="str">
        <f t="shared" si="1"/>
        <v>Jun</v>
      </c>
    </row>
    <row r="108" spans="1:9" x14ac:dyDescent="0.25">
      <c r="A108">
        <v>10599</v>
      </c>
      <c r="B108" t="s">
        <v>63</v>
      </c>
      <c r="C108" s="6">
        <v>42931</v>
      </c>
      <c r="D108" s="6">
        <v>42973</v>
      </c>
      <c r="E108" s="6">
        <v>42937</v>
      </c>
      <c r="F108" s="3" t="s">
        <v>646</v>
      </c>
      <c r="G108" s="11">
        <v>149.9</v>
      </c>
      <c r="H108" s="3" t="s">
        <v>325</v>
      </c>
      <c r="I108" s="3" t="str">
        <f t="shared" si="1"/>
        <v>Jul</v>
      </c>
    </row>
    <row r="109" spans="1:9" x14ac:dyDescent="0.25">
      <c r="A109">
        <v>10943</v>
      </c>
      <c r="B109" t="s">
        <v>63</v>
      </c>
      <c r="C109" s="6">
        <v>43170</v>
      </c>
      <c r="D109" s="6">
        <v>43198</v>
      </c>
      <c r="E109" s="6">
        <v>43178</v>
      </c>
      <c r="F109" s="3" t="s">
        <v>645</v>
      </c>
      <c r="G109" s="11">
        <v>10.85</v>
      </c>
      <c r="H109" s="3" t="s">
        <v>325</v>
      </c>
      <c r="I109" s="3" t="str">
        <f t="shared" si="1"/>
        <v>Mar</v>
      </c>
    </row>
    <row r="110" spans="1:9" x14ac:dyDescent="0.25">
      <c r="A110">
        <v>10947</v>
      </c>
      <c r="B110" t="s">
        <v>63</v>
      </c>
      <c r="C110" s="6">
        <v>43172</v>
      </c>
      <c r="D110" s="6">
        <v>43200</v>
      </c>
      <c r="E110" s="6">
        <v>43175</v>
      </c>
      <c r="F110" s="3" t="s">
        <v>645</v>
      </c>
      <c r="G110" s="11">
        <v>16.299999999999997</v>
      </c>
      <c r="H110" s="3" t="s">
        <v>325</v>
      </c>
      <c r="I110" s="3" t="str">
        <f t="shared" si="1"/>
        <v>Mar</v>
      </c>
    </row>
    <row r="111" spans="1:9" x14ac:dyDescent="0.25">
      <c r="A111">
        <v>11023</v>
      </c>
      <c r="B111" t="s">
        <v>63</v>
      </c>
      <c r="C111" s="6">
        <v>43204</v>
      </c>
      <c r="D111" s="6">
        <v>43218</v>
      </c>
      <c r="E111" s="6">
        <v>43214</v>
      </c>
      <c r="F111" s="3" t="s">
        <v>645</v>
      </c>
      <c r="G111" s="11">
        <v>619.15</v>
      </c>
      <c r="H111" s="3" t="s">
        <v>325</v>
      </c>
      <c r="I111" s="3" t="str">
        <f t="shared" si="1"/>
        <v>Apr</v>
      </c>
    </row>
    <row r="112" spans="1:9" x14ac:dyDescent="0.25">
      <c r="A112">
        <v>10521</v>
      </c>
      <c r="B112" t="s">
        <v>65</v>
      </c>
      <c r="C112" s="6">
        <v>42854</v>
      </c>
      <c r="D112" s="6">
        <v>42882</v>
      </c>
      <c r="E112" s="6">
        <v>42857</v>
      </c>
      <c r="F112" s="3" t="s">
        <v>645</v>
      </c>
      <c r="G112" s="11">
        <v>86.1</v>
      </c>
      <c r="H112" s="3" t="s">
        <v>326</v>
      </c>
      <c r="I112" s="3" t="str">
        <f t="shared" si="1"/>
        <v>Apr</v>
      </c>
    </row>
    <row r="113" spans="1:9" x14ac:dyDescent="0.25">
      <c r="A113">
        <v>10782</v>
      </c>
      <c r="B113" t="s">
        <v>65</v>
      </c>
      <c r="C113" s="6">
        <v>43086</v>
      </c>
      <c r="D113" s="6">
        <v>43114</v>
      </c>
      <c r="E113" s="6">
        <v>43091</v>
      </c>
      <c r="F113" s="3" t="s">
        <v>646</v>
      </c>
      <c r="G113" s="11">
        <v>5.5</v>
      </c>
      <c r="H113" s="3" t="s">
        <v>326</v>
      </c>
      <c r="I113" s="3" t="str">
        <f t="shared" si="1"/>
        <v>Dec</v>
      </c>
    </row>
    <row r="114" spans="1:9" x14ac:dyDescent="0.25">
      <c r="A114">
        <v>10819</v>
      </c>
      <c r="B114" t="s">
        <v>65</v>
      </c>
      <c r="C114" s="6">
        <v>43107</v>
      </c>
      <c r="D114" s="6">
        <v>43135</v>
      </c>
      <c r="E114" s="6">
        <v>43116</v>
      </c>
      <c r="F114" s="3" t="s">
        <v>646</v>
      </c>
      <c r="G114" s="11">
        <v>98.800000000000011</v>
      </c>
      <c r="H114" s="3" t="s">
        <v>326</v>
      </c>
      <c r="I114" s="3" t="str">
        <f t="shared" si="1"/>
        <v>Jan</v>
      </c>
    </row>
    <row r="115" spans="1:9" x14ac:dyDescent="0.25">
      <c r="A115">
        <v>10881</v>
      </c>
      <c r="B115" t="s">
        <v>65</v>
      </c>
      <c r="C115" s="6">
        <v>43142</v>
      </c>
      <c r="D115" s="6">
        <v>43170</v>
      </c>
      <c r="E115" s="6">
        <v>43149</v>
      </c>
      <c r="F115" s="3" t="s">
        <v>644</v>
      </c>
      <c r="G115" s="11">
        <v>14.2</v>
      </c>
      <c r="H115" s="3" t="s">
        <v>326</v>
      </c>
      <c r="I115" s="3" t="str">
        <f t="shared" si="1"/>
        <v>Feb</v>
      </c>
    </row>
    <row r="116" spans="1:9" x14ac:dyDescent="0.25">
      <c r="A116">
        <v>10937</v>
      </c>
      <c r="B116" t="s">
        <v>65</v>
      </c>
      <c r="C116" s="6">
        <v>43169</v>
      </c>
      <c r="D116" s="6">
        <v>43183</v>
      </c>
      <c r="E116" s="6">
        <v>43172</v>
      </c>
      <c r="F116" s="3" t="s">
        <v>646</v>
      </c>
      <c r="G116" s="11">
        <v>157.55000000000001</v>
      </c>
      <c r="H116" s="3" t="s">
        <v>326</v>
      </c>
      <c r="I116" s="3" t="str">
        <f t="shared" si="1"/>
        <v>Mar</v>
      </c>
    </row>
    <row r="117" spans="1:9" x14ac:dyDescent="0.25">
      <c r="A117">
        <v>11054</v>
      </c>
      <c r="B117" t="s">
        <v>65</v>
      </c>
      <c r="C117" s="6">
        <v>43218</v>
      </c>
      <c r="D117" s="6">
        <v>43246</v>
      </c>
      <c r="E117" s="6"/>
      <c r="F117" s="3" t="s">
        <v>644</v>
      </c>
      <c r="G117" s="11">
        <v>1.6500000000000001</v>
      </c>
      <c r="H117" s="3" t="s">
        <v>326</v>
      </c>
      <c r="I117" s="3" t="str">
        <f t="shared" si="1"/>
        <v>Apr</v>
      </c>
    </row>
    <row r="118" spans="1:9" x14ac:dyDescent="0.25">
      <c r="A118">
        <v>10259</v>
      </c>
      <c r="B118" t="s">
        <v>69</v>
      </c>
      <c r="C118" s="6">
        <v>42569</v>
      </c>
      <c r="D118" s="6">
        <v>42597</v>
      </c>
      <c r="E118" s="6">
        <v>42576</v>
      </c>
      <c r="F118" s="3" t="s">
        <v>646</v>
      </c>
      <c r="G118" s="11">
        <v>16.25</v>
      </c>
      <c r="H118" s="3" t="s">
        <v>327</v>
      </c>
      <c r="I118" s="3" t="str">
        <f t="shared" si="1"/>
        <v>Jul</v>
      </c>
    </row>
    <row r="119" spans="1:9" x14ac:dyDescent="0.25">
      <c r="A119">
        <v>10254</v>
      </c>
      <c r="B119" t="s">
        <v>72</v>
      </c>
      <c r="C119" s="6">
        <v>42562</v>
      </c>
      <c r="D119" s="6">
        <v>42590</v>
      </c>
      <c r="E119" s="6">
        <v>42574</v>
      </c>
      <c r="F119" s="3" t="s">
        <v>645</v>
      </c>
      <c r="G119" s="11">
        <v>114.9</v>
      </c>
      <c r="H119" s="3" t="s">
        <v>328</v>
      </c>
      <c r="I119" s="3" t="str">
        <f t="shared" si="1"/>
        <v>Jul</v>
      </c>
    </row>
    <row r="120" spans="1:9" x14ac:dyDescent="0.25">
      <c r="A120">
        <v>10370</v>
      </c>
      <c r="B120" t="s">
        <v>72</v>
      </c>
      <c r="C120" s="6">
        <v>42707</v>
      </c>
      <c r="D120" s="6">
        <v>42735</v>
      </c>
      <c r="E120" s="6">
        <v>42731</v>
      </c>
      <c r="F120" s="3" t="s">
        <v>645</v>
      </c>
      <c r="G120" s="11">
        <v>5.85</v>
      </c>
      <c r="H120" s="3" t="s">
        <v>328</v>
      </c>
      <c r="I120" s="3" t="str">
        <f t="shared" si="1"/>
        <v>Dec</v>
      </c>
    </row>
    <row r="121" spans="1:9" x14ac:dyDescent="0.25">
      <c r="A121">
        <v>10519</v>
      </c>
      <c r="B121" t="s">
        <v>72</v>
      </c>
      <c r="C121" s="6">
        <v>42853</v>
      </c>
      <c r="D121" s="6">
        <v>42881</v>
      </c>
      <c r="E121" s="6">
        <v>42856</v>
      </c>
      <c r="F121" s="3" t="s">
        <v>646</v>
      </c>
      <c r="G121" s="11">
        <v>458.8</v>
      </c>
      <c r="H121" s="3" t="s">
        <v>328</v>
      </c>
      <c r="I121" s="3" t="str">
        <f t="shared" si="1"/>
        <v>Apr</v>
      </c>
    </row>
    <row r="122" spans="1:9" x14ac:dyDescent="0.25">
      <c r="A122">
        <v>10731</v>
      </c>
      <c r="B122" t="s">
        <v>72</v>
      </c>
      <c r="C122" s="6">
        <v>43045</v>
      </c>
      <c r="D122" s="6">
        <v>43073</v>
      </c>
      <c r="E122" s="6">
        <v>43053</v>
      </c>
      <c r="F122" s="3" t="s">
        <v>644</v>
      </c>
      <c r="G122" s="11">
        <v>483.25</v>
      </c>
      <c r="H122" s="3" t="s">
        <v>328</v>
      </c>
      <c r="I122" s="3" t="str">
        <f t="shared" si="1"/>
        <v>Nov</v>
      </c>
    </row>
    <row r="123" spans="1:9" x14ac:dyDescent="0.25">
      <c r="A123">
        <v>10746</v>
      </c>
      <c r="B123" t="s">
        <v>72</v>
      </c>
      <c r="C123" s="6">
        <v>43058</v>
      </c>
      <c r="D123" s="6">
        <v>43086</v>
      </c>
      <c r="E123" s="6">
        <v>43060</v>
      </c>
      <c r="F123" s="3" t="s">
        <v>646</v>
      </c>
      <c r="G123" s="11">
        <v>157.15</v>
      </c>
      <c r="H123" s="3" t="s">
        <v>328</v>
      </c>
      <c r="I123" s="3" t="str">
        <f t="shared" si="1"/>
        <v>Nov</v>
      </c>
    </row>
    <row r="124" spans="1:9" x14ac:dyDescent="0.25">
      <c r="A124">
        <v>10966</v>
      </c>
      <c r="B124" t="s">
        <v>72</v>
      </c>
      <c r="C124" s="6">
        <v>43179</v>
      </c>
      <c r="D124" s="6">
        <v>43207</v>
      </c>
      <c r="E124" s="6">
        <v>43198</v>
      </c>
      <c r="F124" s="3" t="s">
        <v>644</v>
      </c>
      <c r="G124" s="11">
        <v>135.95000000000002</v>
      </c>
      <c r="H124" s="3" t="s">
        <v>328</v>
      </c>
      <c r="I124" s="3" t="str">
        <f t="shared" si="1"/>
        <v>Mar</v>
      </c>
    </row>
    <row r="125" spans="1:9" x14ac:dyDescent="0.25">
      <c r="A125">
        <v>11029</v>
      </c>
      <c r="B125" t="s">
        <v>72</v>
      </c>
      <c r="C125" s="6">
        <v>43206</v>
      </c>
      <c r="D125" s="6">
        <v>43234</v>
      </c>
      <c r="E125" s="6">
        <v>43217</v>
      </c>
      <c r="F125" s="3" t="s">
        <v>644</v>
      </c>
      <c r="G125" s="11">
        <v>239.20000000000002</v>
      </c>
      <c r="H125" s="3" t="s">
        <v>328</v>
      </c>
      <c r="I125" s="3" t="str">
        <f t="shared" si="1"/>
        <v>Apr</v>
      </c>
    </row>
    <row r="126" spans="1:9" x14ac:dyDescent="0.25">
      <c r="A126">
        <v>11041</v>
      </c>
      <c r="B126" t="s">
        <v>72</v>
      </c>
      <c r="C126" s="6">
        <v>43212</v>
      </c>
      <c r="D126" s="6">
        <v>43240</v>
      </c>
      <c r="E126" s="6">
        <v>43218</v>
      </c>
      <c r="F126" s="3" t="s">
        <v>645</v>
      </c>
      <c r="G126" s="11">
        <v>241.1</v>
      </c>
      <c r="H126" s="3" t="s">
        <v>328</v>
      </c>
      <c r="I126" s="3" t="str">
        <f t="shared" si="1"/>
        <v>Apr</v>
      </c>
    </row>
    <row r="127" spans="1:9" x14ac:dyDescent="0.25">
      <c r="A127">
        <v>10290</v>
      </c>
      <c r="B127" t="s">
        <v>74</v>
      </c>
      <c r="C127" s="6">
        <v>42609</v>
      </c>
      <c r="D127" s="6">
        <v>42637</v>
      </c>
      <c r="E127" s="6">
        <v>42616</v>
      </c>
      <c r="F127" s="3" t="s">
        <v>644</v>
      </c>
      <c r="G127" s="11">
        <v>398.5</v>
      </c>
      <c r="H127" s="3" t="s">
        <v>329</v>
      </c>
      <c r="I127" s="3" t="str">
        <f t="shared" si="1"/>
        <v>Aug</v>
      </c>
    </row>
    <row r="128" spans="1:9" x14ac:dyDescent="0.25">
      <c r="A128">
        <v>10466</v>
      </c>
      <c r="B128" t="s">
        <v>74</v>
      </c>
      <c r="C128" s="6">
        <v>42800</v>
      </c>
      <c r="D128" s="6">
        <v>42828</v>
      </c>
      <c r="E128" s="6">
        <v>42807</v>
      </c>
      <c r="F128" s="3" t="s">
        <v>644</v>
      </c>
      <c r="G128" s="11">
        <v>59.65</v>
      </c>
      <c r="H128" s="3" t="s">
        <v>329</v>
      </c>
      <c r="I128" s="3" t="str">
        <f t="shared" si="1"/>
        <v>Mar</v>
      </c>
    </row>
    <row r="129" spans="1:9" x14ac:dyDescent="0.25">
      <c r="A129">
        <v>10494</v>
      </c>
      <c r="B129" t="s">
        <v>74</v>
      </c>
      <c r="C129" s="6">
        <v>42827</v>
      </c>
      <c r="D129" s="6">
        <v>42855</v>
      </c>
      <c r="E129" s="6">
        <v>42834</v>
      </c>
      <c r="F129" s="3" t="s">
        <v>645</v>
      </c>
      <c r="G129" s="11">
        <v>329.95</v>
      </c>
      <c r="H129" s="3" t="s">
        <v>329</v>
      </c>
      <c r="I129" s="3" t="str">
        <f t="shared" si="1"/>
        <v>Apr</v>
      </c>
    </row>
    <row r="130" spans="1:9" x14ac:dyDescent="0.25">
      <c r="A130">
        <v>10969</v>
      </c>
      <c r="B130" t="s">
        <v>74</v>
      </c>
      <c r="C130" s="6">
        <v>43182</v>
      </c>
      <c r="D130" s="6">
        <v>43210</v>
      </c>
      <c r="E130" s="6">
        <v>43189</v>
      </c>
      <c r="F130" s="3" t="s">
        <v>645</v>
      </c>
      <c r="G130" s="11">
        <v>1.05</v>
      </c>
      <c r="H130" s="3" t="s">
        <v>329</v>
      </c>
      <c r="I130" s="3" t="str">
        <f t="shared" si="1"/>
        <v>Mar</v>
      </c>
    </row>
    <row r="131" spans="1:9" x14ac:dyDescent="0.25">
      <c r="A131">
        <v>11042</v>
      </c>
      <c r="B131" t="s">
        <v>74</v>
      </c>
      <c r="C131" s="6">
        <v>43212</v>
      </c>
      <c r="D131" s="6">
        <v>43226</v>
      </c>
      <c r="E131" s="6">
        <v>43221</v>
      </c>
      <c r="F131" s="3" t="s">
        <v>644</v>
      </c>
      <c r="G131" s="11">
        <v>149.94999999999999</v>
      </c>
      <c r="H131" s="3" t="s">
        <v>329</v>
      </c>
      <c r="I131" s="3" t="str">
        <f t="shared" ref="I131:I194" si="2">TEXT(C131,"mmm")</f>
        <v>Apr</v>
      </c>
    </row>
    <row r="132" spans="1:9" x14ac:dyDescent="0.25">
      <c r="A132">
        <v>10435</v>
      </c>
      <c r="B132" t="s">
        <v>78</v>
      </c>
      <c r="C132" s="6">
        <v>42770</v>
      </c>
      <c r="D132" s="6">
        <v>42812</v>
      </c>
      <c r="E132" s="6">
        <v>42773</v>
      </c>
      <c r="F132" s="3" t="s">
        <v>645</v>
      </c>
      <c r="G132" s="11">
        <v>46.050000000000004</v>
      </c>
      <c r="H132" s="3" t="s">
        <v>17</v>
      </c>
      <c r="I132" s="3" t="str">
        <f t="shared" si="2"/>
        <v>Feb</v>
      </c>
    </row>
    <row r="133" spans="1:9" x14ac:dyDescent="0.25">
      <c r="A133">
        <v>10462</v>
      </c>
      <c r="B133" t="s">
        <v>78</v>
      </c>
      <c r="C133" s="6">
        <v>42797</v>
      </c>
      <c r="D133" s="6">
        <v>42825</v>
      </c>
      <c r="E133" s="6">
        <v>42812</v>
      </c>
      <c r="F133" s="3" t="s">
        <v>644</v>
      </c>
      <c r="G133" s="11">
        <v>30.85</v>
      </c>
      <c r="H133" s="3" t="s">
        <v>17</v>
      </c>
      <c r="I133" s="3" t="str">
        <f t="shared" si="2"/>
        <v>Mar</v>
      </c>
    </row>
    <row r="134" spans="1:9" x14ac:dyDescent="0.25">
      <c r="A134">
        <v>10848</v>
      </c>
      <c r="B134" t="s">
        <v>78</v>
      </c>
      <c r="C134" s="6">
        <v>43123</v>
      </c>
      <c r="D134" s="6">
        <v>43151</v>
      </c>
      <c r="E134" s="6">
        <v>43129</v>
      </c>
      <c r="F134" s="3" t="s">
        <v>645</v>
      </c>
      <c r="G134" s="11">
        <v>191.20000000000002</v>
      </c>
      <c r="H134" s="3" t="s">
        <v>17</v>
      </c>
      <c r="I134" s="3" t="str">
        <f t="shared" si="2"/>
        <v>Jan</v>
      </c>
    </row>
    <row r="135" spans="1:9" x14ac:dyDescent="0.25">
      <c r="A135">
        <v>10363</v>
      </c>
      <c r="B135" t="s">
        <v>81</v>
      </c>
      <c r="C135" s="6">
        <v>42700</v>
      </c>
      <c r="D135" s="6">
        <v>42728</v>
      </c>
      <c r="E135" s="6">
        <v>42708</v>
      </c>
      <c r="F135" s="3" t="s">
        <v>646</v>
      </c>
      <c r="G135" s="11">
        <v>152.69999999999999</v>
      </c>
      <c r="H135" s="3" t="s">
        <v>330</v>
      </c>
      <c r="I135" s="3" t="str">
        <f t="shared" si="2"/>
        <v>Nov</v>
      </c>
    </row>
    <row r="136" spans="1:9" x14ac:dyDescent="0.25">
      <c r="A136">
        <v>10391</v>
      </c>
      <c r="B136" t="s">
        <v>81</v>
      </c>
      <c r="C136" s="6">
        <v>42727</v>
      </c>
      <c r="D136" s="6">
        <v>42755</v>
      </c>
      <c r="E136" s="6">
        <v>42735</v>
      </c>
      <c r="F136" s="3" t="s">
        <v>646</v>
      </c>
      <c r="G136" s="11">
        <v>27.25</v>
      </c>
      <c r="H136" s="3" t="s">
        <v>330</v>
      </c>
      <c r="I136" s="3" t="str">
        <f t="shared" si="2"/>
        <v>Dec</v>
      </c>
    </row>
    <row r="137" spans="1:9" x14ac:dyDescent="0.25">
      <c r="A137">
        <v>10797</v>
      </c>
      <c r="B137" t="s">
        <v>81</v>
      </c>
      <c r="C137" s="6">
        <v>43094</v>
      </c>
      <c r="D137" s="6">
        <v>43122</v>
      </c>
      <c r="E137" s="6">
        <v>43105</v>
      </c>
      <c r="F137" s="3" t="s">
        <v>645</v>
      </c>
      <c r="G137" s="11">
        <v>166.75</v>
      </c>
      <c r="H137" s="3" t="s">
        <v>330</v>
      </c>
      <c r="I137" s="3" t="str">
        <f t="shared" si="2"/>
        <v>Dec</v>
      </c>
    </row>
    <row r="138" spans="1:9" x14ac:dyDescent="0.25">
      <c r="A138">
        <v>10825</v>
      </c>
      <c r="B138" t="s">
        <v>81</v>
      </c>
      <c r="C138" s="6">
        <v>43109</v>
      </c>
      <c r="D138" s="6">
        <v>43137</v>
      </c>
      <c r="E138" s="6">
        <v>43114</v>
      </c>
      <c r="F138" s="3" t="s">
        <v>644</v>
      </c>
      <c r="G138" s="11">
        <v>396.25</v>
      </c>
      <c r="H138" s="3" t="s">
        <v>330</v>
      </c>
      <c r="I138" s="3" t="str">
        <f t="shared" si="2"/>
        <v>Jan</v>
      </c>
    </row>
    <row r="139" spans="1:9" x14ac:dyDescent="0.25">
      <c r="A139">
        <v>11036</v>
      </c>
      <c r="B139" t="s">
        <v>81</v>
      </c>
      <c r="C139" s="6">
        <v>43210</v>
      </c>
      <c r="D139" s="6">
        <v>43238</v>
      </c>
      <c r="E139" s="6">
        <v>43212</v>
      </c>
      <c r="F139" s="3" t="s">
        <v>646</v>
      </c>
      <c r="G139" s="11">
        <v>747.35</v>
      </c>
      <c r="H139" s="3" t="s">
        <v>330</v>
      </c>
      <c r="I139" s="3" t="str">
        <f t="shared" si="2"/>
        <v>Apr</v>
      </c>
    </row>
    <row r="140" spans="1:9" x14ac:dyDescent="0.25">
      <c r="A140">
        <v>11067</v>
      </c>
      <c r="B140" t="s">
        <v>81</v>
      </c>
      <c r="C140" s="6">
        <v>43224</v>
      </c>
      <c r="D140" s="6">
        <v>43238</v>
      </c>
      <c r="E140" s="6">
        <v>43226</v>
      </c>
      <c r="F140" s="3" t="s">
        <v>645</v>
      </c>
      <c r="G140" s="11">
        <v>39.900000000000006</v>
      </c>
      <c r="H140" s="3" t="s">
        <v>330</v>
      </c>
      <c r="I140" s="3" t="str">
        <f t="shared" si="2"/>
        <v>May</v>
      </c>
    </row>
    <row r="141" spans="1:9" x14ac:dyDescent="0.25">
      <c r="A141">
        <v>10311</v>
      </c>
      <c r="B141" t="s">
        <v>84</v>
      </c>
      <c r="C141" s="6">
        <v>42633</v>
      </c>
      <c r="D141" s="6">
        <v>42647</v>
      </c>
      <c r="E141" s="6">
        <v>42639</v>
      </c>
      <c r="F141" s="3" t="s">
        <v>646</v>
      </c>
      <c r="G141" s="11">
        <v>123.45</v>
      </c>
      <c r="H141" s="3" t="s">
        <v>331</v>
      </c>
      <c r="I141" s="3" t="str">
        <f t="shared" si="2"/>
        <v>Sep</v>
      </c>
    </row>
    <row r="142" spans="1:9" x14ac:dyDescent="0.25">
      <c r="A142">
        <v>10609</v>
      </c>
      <c r="B142" t="s">
        <v>84</v>
      </c>
      <c r="C142" s="6">
        <v>42940</v>
      </c>
      <c r="D142" s="6">
        <v>42968</v>
      </c>
      <c r="E142" s="6">
        <v>42946</v>
      </c>
      <c r="F142" s="3" t="s">
        <v>645</v>
      </c>
      <c r="G142" s="11">
        <v>9.25</v>
      </c>
      <c r="H142" s="3" t="s">
        <v>331</v>
      </c>
      <c r="I142" s="3" t="str">
        <f t="shared" si="2"/>
        <v>Jul</v>
      </c>
    </row>
    <row r="143" spans="1:9" x14ac:dyDescent="0.25">
      <c r="A143">
        <v>10683</v>
      </c>
      <c r="B143" t="s">
        <v>84</v>
      </c>
      <c r="C143" s="6">
        <v>43004</v>
      </c>
      <c r="D143" s="6">
        <v>43032</v>
      </c>
      <c r="E143" s="6">
        <v>43009</v>
      </c>
      <c r="F143" s="3" t="s">
        <v>644</v>
      </c>
      <c r="G143" s="11">
        <v>22</v>
      </c>
      <c r="H143" s="3" t="s">
        <v>331</v>
      </c>
      <c r="I143" s="3" t="str">
        <f t="shared" si="2"/>
        <v>Sep</v>
      </c>
    </row>
    <row r="144" spans="1:9" x14ac:dyDescent="0.25">
      <c r="A144">
        <v>10890</v>
      </c>
      <c r="B144" t="s">
        <v>84</v>
      </c>
      <c r="C144" s="6">
        <v>43147</v>
      </c>
      <c r="D144" s="6">
        <v>43175</v>
      </c>
      <c r="E144" s="6">
        <v>43149</v>
      </c>
      <c r="F144" s="3" t="s">
        <v>644</v>
      </c>
      <c r="G144" s="11">
        <v>163.79999999999998</v>
      </c>
      <c r="H144" s="3" t="s">
        <v>331</v>
      </c>
      <c r="I144" s="3" t="str">
        <f t="shared" si="2"/>
        <v>Feb</v>
      </c>
    </row>
    <row r="145" spans="1:9" x14ac:dyDescent="0.25">
      <c r="A145">
        <v>10364</v>
      </c>
      <c r="B145" t="s">
        <v>87</v>
      </c>
      <c r="C145" s="6">
        <v>42700</v>
      </c>
      <c r="D145" s="6">
        <v>42742</v>
      </c>
      <c r="E145" s="6">
        <v>42708</v>
      </c>
      <c r="F145" s="3" t="s">
        <v>644</v>
      </c>
      <c r="G145" s="11">
        <v>359.85</v>
      </c>
      <c r="H145" s="3" t="s">
        <v>16</v>
      </c>
      <c r="I145" s="3" t="str">
        <f t="shared" si="2"/>
        <v>Nov</v>
      </c>
    </row>
    <row r="146" spans="1:9" x14ac:dyDescent="0.25">
      <c r="A146">
        <v>10400</v>
      </c>
      <c r="B146" t="s">
        <v>87</v>
      </c>
      <c r="C146" s="6">
        <v>42736</v>
      </c>
      <c r="D146" s="6">
        <v>42764</v>
      </c>
      <c r="E146" s="6">
        <v>42751</v>
      </c>
      <c r="F146" s="3" t="s">
        <v>646</v>
      </c>
      <c r="G146" s="11">
        <v>419.65000000000003</v>
      </c>
      <c r="H146" s="3" t="s">
        <v>16</v>
      </c>
      <c r="I146" s="3" t="str">
        <f t="shared" si="2"/>
        <v>Jan</v>
      </c>
    </row>
    <row r="147" spans="1:9" x14ac:dyDescent="0.25">
      <c r="A147">
        <v>10532</v>
      </c>
      <c r="B147" t="s">
        <v>87</v>
      </c>
      <c r="C147" s="6">
        <v>42864</v>
      </c>
      <c r="D147" s="6">
        <v>42892</v>
      </c>
      <c r="E147" s="6">
        <v>42867</v>
      </c>
      <c r="F147" s="3" t="s">
        <v>646</v>
      </c>
      <c r="G147" s="11">
        <v>372.29999999999995</v>
      </c>
      <c r="H147" s="3" t="s">
        <v>16</v>
      </c>
      <c r="I147" s="3" t="str">
        <f t="shared" si="2"/>
        <v>May</v>
      </c>
    </row>
    <row r="148" spans="1:9" x14ac:dyDescent="0.25">
      <c r="A148">
        <v>10726</v>
      </c>
      <c r="B148" t="s">
        <v>87</v>
      </c>
      <c r="C148" s="6">
        <v>43042</v>
      </c>
      <c r="D148" s="6">
        <v>43056</v>
      </c>
      <c r="E148" s="6">
        <v>43074</v>
      </c>
      <c r="F148" s="3" t="s">
        <v>644</v>
      </c>
      <c r="G148" s="11">
        <v>82.8</v>
      </c>
      <c r="H148" s="3" t="s">
        <v>16</v>
      </c>
      <c r="I148" s="3" t="str">
        <f t="shared" si="2"/>
        <v>Nov</v>
      </c>
    </row>
    <row r="149" spans="1:9" x14ac:dyDescent="0.25">
      <c r="A149">
        <v>10987</v>
      </c>
      <c r="B149" t="s">
        <v>87</v>
      </c>
      <c r="C149" s="6">
        <v>43190</v>
      </c>
      <c r="D149" s="6">
        <v>43218</v>
      </c>
      <c r="E149" s="6">
        <v>43196</v>
      </c>
      <c r="F149" s="3" t="s">
        <v>644</v>
      </c>
      <c r="G149" s="11">
        <v>927.4</v>
      </c>
      <c r="H149" s="3" t="s">
        <v>16</v>
      </c>
      <c r="I149" s="3" t="str">
        <f t="shared" si="2"/>
        <v>Mar</v>
      </c>
    </row>
    <row r="150" spans="1:9" x14ac:dyDescent="0.25">
      <c r="A150">
        <v>11024</v>
      </c>
      <c r="B150" t="s">
        <v>87</v>
      </c>
      <c r="C150" s="6">
        <v>43205</v>
      </c>
      <c r="D150" s="6">
        <v>43233</v>
      </c>
      <c r="E150" s="6">
        <v>43210</v>
      </c>
      <c r="F150" s="3" t="s">
        <v>644</v>
      </c>
      <c r="G150" s="11">
        <v>371.8</v>
      </c>
      <c r="H150" s="3" t="s">
        <v>16</v>
      </c>
      <c r="I150" s="3" t="str">
        <f t="shared" si="2"/>
        <v>Apr</v>
      </c>
    </row>
    <row r="151" spans="1:9" x14ac:dyDescent="0.25">
      <c r="A151">
        <v>11047</v>
      </c>
      <c r="B151" t="s">
        <v>87</v>
      </c>
      <c r="C151" s="6">
        <v>43214</v>
      </c>
      <c r="D151" s="6">
        <v>43242</v>
      </c>
      <c r="E151" s="6">
        <v>43221</v>
      </c>
      <c r="F151" s="3" t="s">
        <v>646</v>
      </c>
      <c r="G151" s="11">
        <v>233.1</v>
      </c>
      <c r="H151" s="3" t="s">
        <v>16</v>
      </c>
      <c r="I151" s="3" t="str">
        <f t="shared" si="2"/>
        <v>Apr</v>
      </c>
    </row>
    <row r="152" spans="1:9" x14ac:dyDescent="0.25">
      <c r="A152">
        <v>11056</v>
      </c>
      <c r="B152" t="s">
        <v>87</v>
      </c>
      <c r="C152" s="6">
        <v>43218</v>
      </c>
      <c r="D152" s="6">
        <v>43232</v>
      </c>
      <c r="E152" s="6">
        <v>43221</v>
      </c>
      <c r="F152" s="3" t="s">
        <v>645</v>
      </c>
      <c r="G152" s="11">
        <v>1394.8</v>
      </c>
      <c r="H152" s="3" t="s">
        <v>16</v>
      </c>
      <c r="I152" s="3" t="str">
        <f t="shared" si="2"/>
        <v>Apr</v>
      </c>
    </row>
    <row r="153" spans="1:9" x14ac:dyDescent="0.25">
      <c r="A153">
        <v>10258</v>
      </c>
      <c r="B153" t="s">
        <v>90</v>
      </c>
      <c r="C153" s="6">
        <v>42568</v>
      </c>
      <c r="D153" s="6">
        <v>42596</v>
      </c>
      <c r="E153" s="6">
        <v>42574</v>
      </c>
      <c r="F153" s="3" t="s">
        <v>644</v>
      </c>
      <c r="G153" s="11">
        <v>702.55</v>
      </c>
      <c r="H153" s="3" t="s">
        <v>15</v>
      </c>
      <c r="I153" s="3" t="str">
        <f t="shared" si="2"/>
        <v>Jul</v>
      </c>
    </row>
    <row r="154" spans="1:9" x14ac:dyDescent="0.25">
      <c r="A154">
        <v>10263</v>
      </c>
      <c r="B154" t="s">
        <v>90</v>
      </c>
      <c r="C154" s="6">
        <v>42574</v>
      </c>
      <c r="D154" s="6">
        <v>42602</v>
      </c>
      <c r="E154" s="6">
        <v>42582</v>
      </c>
      <c r="F154" s="3" t="s">
        <v>646</v>
      </c>
      <c r="G154" s="11">
        <v>730.3</v>
      </c>
      <c r="H154" s="3" t="s">
        <v>15</v>
      </c>
      <c r="I154" s="3" t="str">
        <f t="shared" si="2"/>
        <v>Jul</v>
      </c>
    </row>
    <row r="155" spans="1:9" x14ac:dyDescent="0.25">
      <c r="A155">
        <v>10351</v>
      </c>
      <c r="B155" t="s">
        <v>90</v>
      </c>
      <c r="C155" s="6">
        <v>42685</v>
      </c>
      <c r="D155" s="6">
        <v>42713</v>
      </c>
      <c r="E155" s="6">
        <v>42694</v>
      </c>
      <c r="F155" s="3" t="s">
        <v>644</v>
      </c>
      <c r="G155" s="11">
        <v>811.65000000000009</v>
      </c>
      <c r="H155" s="3" t="s">
        <v>15</v>
      </c>
      <c r="I155" s="3" t="str">
        <f t="shared" si="2"/>
        <v>Nov</v>
      </c>
    </row>
    <row r="156" spans="1:9" x14ac:dyDescent="0.25">
      <c r="A156">
        <v>10368</v>
      </c>
      <c r="B156" t="s">
        <v>90</v>
      </c>
      <c r="C156" s="6">
        <v>42703</v>
      </c>
      <c r="D156" s="6">
        <v>42731</v>
      </c>
      <c r="E156" s="6">
        <v>42706</v>
      </c>
      <c r="F156" s="3" t="s">
        <v>645</v>
      </c>
      <c r="G156" s="11">
        <v>509.75</v>
      </c>
      <c r="H156" s="3" t="s">
        <v>15</v>
      </c>
      <c r="I156" s="3" t="str">
        <f t="shared" si="2"/>
        <v>Nov</v>
      </c>
    </row>
    <row r="157" spans="1:9" x14ac:dyDescent="0.25">
      <c r="A157">
        <v>10382</v>
      </c>
      <c r="B157" t="s">
        <v>90</v>
      </c>
      <c r="C157" s="6">
        <v>42717</v>
      </c>
      <c r="D157" s="6">
        <v>42745</v>
      </c>
      <c r="E157" s="6">
        <v>42720</v>
      </c>
      <c r="F157" s="3" t="s">
        <v>644</v>
      </c>
      <c r="G157" s="11">
        <v>473.84999999999997</v>
      </c>
      <c r="H157" s="3" t="s">
        <v>15</v>
      </c>
      <c r="I157" s="3" t="str">
        <f t="shared" si="2"/>
        <v>Dec</v>
      </c>
    </row>
    <row r="158" spans="1:9" x14ac:dyDescent="0.25">
      <c r="A158">
        <v>10390</v>
      </c>
      <c r="B158" t="s">
        <v>90</v>
      </c>
      <c r="C158" s="6">
        <v>42727</v>
      </c>
      <c r="D158" s="6">
        <v>42755</v>
      </c>
      <c r="E158" s="6">
        <v>42730</v>
      </c>
      <c r="F158" s="3" t="s">
        <v>644</v>
      </c>
      <c r="G158" s="11">
        <v>631.9</v>
      </c>
      <c r="H158" s="3" t="s">
        <v>15</v>
      </c>
      <c r="I158" s="3" t="str">
        <f t="shared" si="2"/>
        <v>Dec</v>
      </c>
    </row>
    <row r="159" spans="1:9" x14ac:dyDescent="0.25">
      <c r="A159">
        <v>10402</v>
      </c>
      <c r="B159" t="s">
        <v>90</v>
      </c>
      <c r="C159" s="6">
        <v>42737</v>
      </c>
      <c r="D159" s="6">
        <v>42779</v>
      </c>
      <c r="E159" s="6">
        <v>42745</v>
      </c>
      <c r="F159" s="3" t="s">
        <v>645</v>
      </c>
      <c r="G159" s="11">
        <v>339.4</v>
      </c>
      <c r="H159" s="3" t="s">
        <v>15</v>
      </c>
      <c r="I159" s="3" t="str">
        <f t="shared" si="2"/>
        <v>Jan</v>
      </c>
    </row>
    <row r="160" spans="1:9" x14ac:dyDescent="0.25">
      <c r="A160">
        <v>10403</v>
      </c>
      <c r="B160" t="s">
        <v>90</v>
      </c>
      <c r="C160" s="6">
        <v>42738</v>
      </c>
      <c r="D160" s="6">
        <v>42766</v>
      </c>
      <c r="E160" s="6">
        <v>42744</v>
      </c>
      <c r="F160" s="3" t="s">
        <v>646</v>
      </c>
      <c r="G160" s="11">
        <v>368.95000000000005</v>
      </c>
      <c r="H160" s="3" t="s">
        <v>15</v>
      </c>
      <c r="I160" s="3" t="str">
        <f t="shared" si="2"/>
        <v>Jan</v>
      </c>
    </row>
    <row r="161" spans="1:9" x14ac:dyDescent="0.25">
      <c r="A161">
        <v>10430</v>
      </c>
      <c r="B161" t="s">
        <v>90</v>
      </c>
      <c r="C161" s="6">
        <v>42765</v>
      </c>
      <c r="D161" s="6">
        <v>42779</v>
      </c>
      <c r="E161" s="6">
        <v>42769</v>
      </c>
      <c r="F161" s="3" t="s">
        <v>644</v>
      </c>
      <c r="G161" s="11">
        <v>2293.8999999999996</v>
      </c>
      <c r="H161" s="3" t="s">
        <v>15</v>
      </c>
      <c r="I161" s="3" t="str">
        <f t="shared" si="2"/>
        <v>Jan</v>
      </c>
    </row>
    <row r="162" spans="1:9" x14ac:dyDescent="0.25">
      <c r="A162">
        <v>10442</v>
      </c>
      <c r="B162" t="s">
        <v>90</v>
      </c>
      <c r="C162" s="6">
        <v>42777</v>
      </c>
      <c r="D162" s="6">
        <v>42805</v>
      </c>
      <c r="E162" s="6">
        <v>42784</v>
      </c>
      <c r="F162" s="3" t="s">
        <v>645</v>
      </c>
      <c r="G162" s="11">
        <v>239.7</v>
      </c>
      <c r="H162" s="3" t="s">
        <v>15</v>
      </c>
      <c r="I162" s="3" t="str">
        <f t="shared" si="2"/>
        <v>Feb</v>
      </c>
    </row>
    <row r="163" spans="1:9" x14ac:dyDescent="0.25">
      <c r="A163">
        <v>10514</v>
      </c>
      <c r="B163" t="s">
        <v>90</v>
      </c>
      <c r="C163" s="6">
        <v>42847</v>
      </c>
      <c r="D163" s="6">
        <v>42875</v>
      </c>
      <c r="E163" s="6">
        <v>42871</v>
      </c>
      <c r="F163" s="3" t="s">
        <v>645</v>
      </c>
      <c r="G163" s="11">
        <v>3949.75</v>
      </c>
      <c r="H163" s="3" t="s">
        <v>15</v>
      </c>
      <c r="I163" s="3" t="str">
        <f t="shared" si="2"/>
        <v>Apr</v>
      </c>
    </row>
    <row r="164" spans="1:9" x14ac:dyDescent="0.25">
      <c r="A164">
        <v>10571</v>
      </c>
      <c r="B164" t="s">
        <v>90</v>
      </c>
      <c r="C164" s="6">
        <v>42903</v>
      </c>
      <c r="D164" s="6">
        <v>42945</v>
      </c>
      <c r="E164" s="6">
        <v>42920</v>
      </c>
      <c r="F164" s="3" t="s">
        <v>646</v>
      </c>
      <c r="G164" s="11">
        <v>130.29999999999998</v>
      </c>
      <c r="H164" s="3" t="s">
        <v>15</v>
      </c>
      <c r="I164" s="3" t="str">
        <f t="shared" si="2"/>
        <v>Jun</v>
      </c>
    </row>
    <row r="165" spans="1:9" x14ac:dyDescent="0.25">
      <c r="A165">
        <v>10595</v>
      </c>
      <c r="B165" t="s">
        <v>90</v>
      </c>
      <c r="C165" s="6">
        <v>42926</v>
      </c>
      <c r="D165" s="6">
        <v>42954</v>
      </c>
      <c r="E165" s="6">
        <v>42930</v>
      </c>
      <c r="F165" s="3" t="s">
        <v>644</v>
      </c>
      <c r="G165" s="11">
        <v>483.9</v>
      </c>
      <c r="H165" s="3" t="s">
        <v>15</v>
      </c>
      <c r="I165" s="3" t="str">
        <f t="shared" si="2"/>
        <v>Jul</v>
      </c>
    </row>
    <row r="166" spans="1:9" x14ac:dyDescent="0.25">
      <c r="A166">
        <v>10633</v>
      </c>
      <c r="B166" t="s">
        <v>90</v>
      </c>
      <c r="C166" s="6">
        <v>42962</v>
      </c>
      <c r="D166" s="6">
        <v>42990</v>
      </c>
      <c r="E166" s="6">
        <v>42965</v>
      </c>
      <c r="F166" s="3" t="s">
        <v>646</v>
      </c>
      <c r="G166" s="11">
        <v>2389.5</v>
      </c>
      <c r="H166" s="3" t="s">
        <v>15</v>
      </c>
      <c r="I166" s="3" t="str">
        <f t="shared" si="2"/>
        <v>Aug</v>
      </c>
    </row>
    <row r="167" spans="1:9" x14ac:dyDescent="0.25">
      <c r="A167">
        <v>10667</v>
      </c>
      <c r="B167" t="s">
        <v>90</v>
      </c>
      <c r="C167" s="6">
        <v>42990</v>
      </c>
      <c r="D167" s="6">
        <v>43018</v>
      </c>
      <c r="E167" s="6">
        <v>42997</v>
      </c>
      <c r="F167" s="3" t="s">
        <v>644</v>
      </c>
      <c r="G167" s="11">
        <v>390.45000000000005</v>
      </c>
      <c r="H167" s="3" t="s">
        <v>15</v>
      </c>
      <c r="I167" s="3" t="str">
        <f t="shared" si="2"/>
        <v>Sep</v>
      </c>
    </row>
    <row r="168" spans="1:9" x14ac:dyDescent="0.25">
      <c r="A168">
        <v>10698</v>
      </c>
      <c r="B168" t="s">
        <v>90</v>
      </c>
      <c r="C168" s="6">
        <v>43017</v>
      </c>
      <c r="D168" s="6">
        <v>43045</v>
      </c>
      <c r="E168" s="6">
        <v>43025</v>
      </c>
      <c r="F168" s="3" t="s">
        <v>644</v>
      </c>
      <c r="G168" s="11">
        <v>1362.3500000000001</v>
      </c>
      <c r="H168" s="3" t="s">
        <v>15</v>
      </c>
      <c r="I168" s="3" t="str">
        <f t="shared" si="2"/>
        <v>Oct</v>
      </c>
    </row>
    <row r="169" spans="1:9" x14ac:dyDescent="0.25">
      <c r="A169">
        <v>10764</v>
      </c>
      <c r="B169" t="s">
        <v>90</v>
      </c>
      <c r="C169" s="6">
        <v>43072</v>
      </c>
      <c r="D169" s="6">
        <v>43100</v>
      </c>
      <c r="E169" s="6">
        <v>43077</v>
      </c>
      <c r="F169" s="3" t="s">
        <v>646</v>
      </c>
      <c r="G169" s="11">
        <v>727.25</v>
      </c>
      <c r="H169" s="3" t="s">
        <v>15</v>
      </c>
      <c r="I169" s="3" t="str">
        <f t="shared" si="2"/>
        <v>Dec</v>
      </c>
    </row>
    <row r="170" spans="1:9" x14ac:dyDescent="0.25">
      <c r="A170">
        <v>10771</v>
      </c>
      <c r="B170" t="s">
        <v>90</v>
      </c>
      <c r="C170" s="6">
        <v>43079</v>
      </c>
      <c r="D170" s="6">
        <v>43107</v>
      </c>
      <c r="E170" s="6">
        <v>43102</v>
      </c>
      <c r="F170" s="3" t="s">
        <v>645</v>
      </c>
      <c r="G170" s="11">
        <v>55.949999999999996</v>
      </c>
      <c r="H170" s="3" t="s">
        <v>15</v>
      </c>
      <c r="I170" s="3" t="str">
        <f t="shared" si="2"/>
        <v>Dec</v>
      </c>
    </row>
    <row r="171" spans="1:9" x14ac:dyDescent="0.25">
      <c r="A171">
        <v>10773</v>
      </c>
      <c r="B171" t="s">
        <v>90</v>
      </c>
      <c r="C171" s="6">
        <v>43080</v>
      </c>
      <c r="D171" s="6">
        <v>43108</v>
      </c>
      <c r="E171" s="6">
        <v>43085</v>
      </c>
      <c r="F171" s="3" t="s">
        <v>646</v>
      </c>
      <c r="G171" s="11">
        <v>482.15000000000003</v>
      </c>
      <c r="H171" s="3" t="s">
        <v>15</v>
      </c>
      <c r="I171" s="3" t="str">
        <f t="shared" si="2"/>
        <v>Dec</v>
      </c>
    </row>
    <row r="172" spans="1:9" x14ac:dyDescent="0.25">
      <c r="A172">
        <v>10776</v>
      </c>
      <c r="B172" t="s">
        <v>90</v>
      </c>
      <c r="C172" s="6">
        <v>43084</v>
      </c>
      <c r="D172" s="6">
        <v>43112</v>
      </c>
      <c r="E172" s="6">
        <v>43087</v>
      </c>
      <c r="F172" s="3" t="s">
        <v>646</v>
      </c>
      <c r="G172" s="11">
        <v>1757.6499999999999</v>
      </c>
      <c r="H172" s="3" t="s">
        <v>15</v>
      </c>
      <c r="I172" s="3" t="str">
        <f t="shared" si="2"/>
        <v>Dec</v>
      </c>
    </row>
    <row r="173" spans="1:9" x14ac:dyDescent="0.25">
      <c r="A173">
        <v>10795</v>
      </c>
      <c r="B173" t="s">
        <v>90</v>
      </c>
      <c r="C173" s="6">
        <v>43093</v>
      </c>
      <c r="D173" s="6">
        <v>43121</v>
      </c>
      <c r="E173" s="6">
        <v>43120</v>
      </c>
      <c r="F173" s="3" t="s">
        <v>645</v>
      </c>
      <c r="G173" s="11">
        <v>633.29999999999995</v>
      </c>
      <c r="H173" s="3" t="s">
        <v>15</v>
      </c>
      <c r="I173" s="3" t="str">
        <f t="shared" si="2"/>
        <v>Dec</v>
      </c>
    </row>
    <row r="174" spans="1:9" x14ac:dyDescent="0.25">
      <c r="A174">
        <v>10836</v>
      </c>
      <c r="B174" t="s">
        <v>90</v>
      </c>
      <c r="C174" s="6">
        <v>43116</v>
      </c>
      <c r="D174" s="6">
        <v>43144</v>
      </c>
      <c r="E174" s="6">
        <v>43121</v>
      </c>
      <c r="F174" s="3" t="s">
        <v>644</v>
      </c>
      <c r="G174" s="11">
        <v>2059.4</v>
      </c>
      <c r="H174" s="3" t="s">
        <v>15</v>
      </c>
      <c r="I174" s="3" t="str">
        <f t="shared" si="2"/>
        <v>Jan</v>
      </c>
    </row>
    <row r="175" spans="1:9" x14ac:dyDescent="0.25">
      <c r="A175">
        <v>10854</v>
      </c>
      <c r="B175" t="s">
        <v>90</v>
      </c>
      <c r="C175" s="6">
        <v>43127</v>
      </c>
      <c r="D175" s="6">
        <v>43155</v>
      </c>
      <c r="E175" s="6">
        <v>43136</v>
      </c>
      <c r="F175" s="3" t="s">
        <v>645</v>
      </c>
      <c r="G175" s="11">
        <v>501.1</v>
      </c>
      <c r="H175" s="3" t="s">
        <v>15</v>
      </c>
      <c r="I175" s="3" t="str">
        <f t="shared" si="2"/>
        <v>Jan</v>
      </c>
    </row>
    <row r="176" spans="1:9" x14ac:dyDescent="0.25">
      <c r="A176">
        <v>10895</v>
      </c>
      <c r="B176" t="s">
        <v>90</v>
      </c>
      <c r="C176" s="6">
        <v>43149</v>
      </c>
      <c r="D176" s="6">
        <v>43177</v>
      </c>
      <c r="E176" s="6">
        <v>43154</v>
      </c>
      <c r="F176" s="3" t="s">
        <v>644</v>
      </c>
      <c r="G176" s="11">
        <v>813.75</v>
      </c>
      <c r="H176" s="3" t="s">
        <v>15</v>
      </c>
      <c r="I176" s="3" t="str">
        <f t="shared" si="2"/>
        <v>Feb</v>
      </c>
    </row>
    <row r="177" spans="1:9" x14ac:dyDescent="0.25">
      <c r="A177">
        <v>10968</v>
      </c>
      <c r="B177" t="s">
        <v>90</v>
      </c>
      <c r="C177" s="6">
        <v>43182</v>
      </c>
      <c r="D177" s="6">
        <v>43210</v>
      </c>
      <c r="E177" s="6">
        <v>43191</v>
      </c>
      <c r="F177" s="3" t="s">
        <v>646</v>
      </c>
      <c r="G177" s="11">
        <v>373</v>
      </c>
      <c r="H177" s="3" t="s">
        <v>15</v>
      </c>
      <c r="I177" s="3" t="str">
        <f t="shared" si="2"/>
        <v>Mar</v>
      </c>
    </row>
    <row r="178" spans="1:9" x14ac:dyDescent="0.25">
      <c r="A178">
        <v>10979</v>
      </c>
      <c r="B178" t="s">
        <v>90</v>
      </c>
      <c r="C178" s="6">
        <v>43185</v>
      </c>
      <c r="D178" s="6">
        <v>43213</v>
      </c>
      <c r="E178" s="6">
        <v>43190</v>
      </c>
      <c r="F178" s="3" t="s">
        <v>645</v>
      </c>
      <c r="G178" s="11">
        <v>1765.35</v>
      </c>
      <c r="H178" s="3" t="s">
        <v>15</v>
      </c>
      <c r="I178" s="3" t="str">
        <f t="shared" si="2"/>
        <v>Mar</v>
      </c>
    </row>
    <row r="179" spans="1:9" x14ac:dyDescent="0.25">
      <c r="A179">
        <v>10990</v>
      </c>
      <c r="B179" t="s">
        <v>90</v>
      </c>
      <c r="C179" s="6">
        <v>43191</v>
      </c>
      <c r="D179" s="6">
        <v>43233</v>
      </c>
      <c r="E179" s="6">
        <v>43197</v>
      </c>
      <c r="F179" s="3" t="s">
        <v>646</v>
      </c>
      <c r="G179" s="11">
        <v>588.04999999999995</v>
      </c>
      <c r="H179" s="3" t="s">
        <v>15</v>
      </c>
      <c r="I179" s="3" t="str">
        <f t="shared" si="2"/>
        <v>Apr</v>
      </c>
    </row>
    <row r="180" spans="1:9" x14ac:dyDescent="0.25">
      <c r="A180">
        <v>11008</v>
      </c>
      <c r="B180" t="s">
        <v>90</v>
      </c>
      <c r="C180" s="6">
        <v>43198</v>
      </c>
      <c r="D180" s="6">
        <v>43226</v>
      </c>
      <c r="E180" s="6"/>
      <c r="F180" s="3" t="s">
        <v>646</v>
      </c>
      <c r="G180" s="11">
        <v>397.29999999999995</v>
      </c>
      <c r="H180" s="3" t="s">
        <v>15</v>
      </c>
      <c r="I180" s="3" t="str">
        <f t="shared" si="2"/>
        <v>Apr</v>
      </c>
    </row>
    <row r="181" spans="1:9" x14ac:dyDescent="0.25">
      <c r="A181">
        <v>11017</v>
      </c>
      <c r="B181" t="s">
        <v>90</v>
      </c>
      <c r="C181" s="6">
        <v>43203</v>
      </c>
      <c r="D181" s="6">
        <v>43231</v>
      </c>
      <c r="E181" s="6">
        <v>43210</v>
      </c>
      <c r="F181" s="3" t="s">
        <v>645</v>
      </c>
      <c r="G181" s="11">
        <v>3771.3</v>
      </c>
      <c r="H181" s="3" t="s">
        <v>15</v>
      </c>
      <c r="I181" s="3" t="str">
        <f t="shared" si="2"/>
        <v>Apr</v>
      </c>
    </row>
    <row r="182" spans="1:9" x14ac:dyDescent="0.25">
      <c r="A182">
        <v>11072</v>
      </c>
      <c r="B182" t="s">
        <v>90</v>
      </c>
      <c r="C182" s="6">
        <v>43225</v>
      </c>
      <c r="D182" s="6">
        <v>43253</v>
      </c>
      <c r="E182" s="6"/>
      <c r="F182" s="3" t="s">
        <v>645</v>
      </c>
      <c r="G182" s="11">
        <v>1293.1999999999998</v>
      </c>
      <c r="H182" s="3" t="s">
        <v>15</v>
      </c>
      <c r="I182" s="3" t="str">
        <f t="shared" si="2"/>
        <v>May</v>
      </c>
    </row>
    <row r="183" spans="1:9" x14ac:dyDescent="0.25">
      <c r="A183">
        <v>10347</v>
      </c>
      <c r="B183" t="s">
        <v>94</v>
      </c>
      <c r="C183" s="6">
        <v>42680</v>
      </c>
      <c r="D183" s="6">
        <v>42708</v>
      </c>
      <c r="E183" s="6">
        <v>42682</v>
      </c>
      <c r="F183" s="3" t="s">
        <v>646</v>
      </c>
      <c r="G183" s="11">
        <v>15.5</v>
      </c>
      <c r="H183" s="3" t="s">
        <v>332</v>
      </c>
      <c r="I183" s="3" t="str">
        <f t="shared" si="2"/>
        <v>Nov</v>
      </c>
    </row>
    <row r="184" spans="1:9" x14ac:dyDescent="0.25">
      <c r="A184">
        <v>10386</v>
      </c>
      <c r="B184" t="s">
        <v>94</v>
      </c>
      <c r="C184" s="6">
        <v>42722</v>
      </c>
      <c r="D184" s="6">
        <v>42736</v>
      </c>
      <c r="E184" s="6">
        <v>42729</v>
      </c>
      <c r="F184" s="3" t="s">
        <v>646</v>
      </c>
      <c r="G184" s="11">
        <v>69.95</v>
      </c>
      <c r="H184" s="3" t="s">
        <v>332</v>
      </c>
      <c r="I184" s="3" t="str">
        <f t="shared" si="2"/>
        <v>Dec</v>
      </c>
    </row>
    <row r="185" spans="1:9" x14ac:dyDescent="0.25">
      <c r="A185">
        <v>10414</v>
      </c>
      <c r="B185" t="s">
        <v>94</v>
      </c>
      <c r="C185" s="6">
        <v>42749</v>
      </c>
      <c r="D185" s="6">
        <v>42777</v>
      </c>
      <c r="E185" s="6">
        <v>42752</v>
      </c>
      <c r="F185" s="3" t="s">
        <v>646</v>
      </c>
      <c r="G185" s="11">
        <v>107.4</v>
      </c>
      <c r="H185" s="3" t="s">
        <v>332</v>
      </c>
      <c r="I185" s="3" t="str">
        <f t="shared" si="2"/>
        <v>Jan</v>
      </c>
    </row>
    <row r="186" spans="1:9" x14ac:dyDescent="0.25">
      <c r="A186">
        <v>10512</v>
      </c>
      <c r="B186" t="s">
        <v>94</v>
      </c>
      <c r="C186" s="6">
        <v>42846</v>
      </c>
      <c r="D186" s="6">
        <v>42874</v>
      </c>
      <c r="E186" s="6">
        <v>42849</v>
      </c>
      <c r="F186" s="3" t="s">
        <v>645</v>
      </c>
      <c r="G186" s="11">
        <v>17.649999999999999</v>
      </c>
      <c r="H186" s="3" t="s">
        <v>332</v>
      </c>
      <c r="I186" s="3" t="str">
        <f t="shared" si="2"/>
        <v>Apr</v>
      </c>
    </row>
    <row r="187" spans="1:9" x14ac:dyDescent="0.25">
      <c r="A187">
        <v>10581</v>
      </c>
      <c r="B187" t="s">
        <v>94</v>
      </c>
      <c r="C187" s="6">
        <v>42912</v>
      </c>
      <c r="D187" s="6">
        <v>42940</v>
      </c>
      <c r="E187" s="6">
        <v>42918</v>
      </c>
      <c r="F187" s="3" t="s">
        <v>644</v>
      </c>
      <c r="G187" s="11">
        <v>15.049999999999999</v>
      </c>
      <c r="H187" s="3" t="s">
        <v>332</v>
      </c>
      <c r="I187" s="3" t="str">
        <f t="shared" si="2"/>
        <v>Jun</v>
      </c>
    </row>
    <row r="188" spans="1:9" x14ac:dyDescent="0.25">
      <c r="A188">
        <v>10650</v>
      </c>
      <c r="B188" t="s">
        <v>94</v>
      </c>
      <c r="C188" s="6">
        <v>42976</v>
      </c>
      <c r="D188" s="6">
        <v>43004</v>
      </c>
      <c r="E188" s="6">
        <v>42981</v>
      </c>
      <c r="F188" s="3" t="s">
        <v>646</v>
      </c>
      <c r="G188" s="11">
        <v>884.05</v>
      </c>
      <c r="H188" s="3" t="s">
        <v>332</v>
      </c>
      <c r="I188" s="3" t="str">
        <f t="shared" si="2"/>
        <v>Aug</v>
      </c>
    </row>
    <row r="189" spans="1:9" x14ac:dyDescent="0.25">
      <c r="A189">
        <v>10725</v>
      </c>
      <c r="B189" t="s">
        <v>94</v>
      </c>
      <c r="C189" s="6">
        <v>43039</v>
      </c>
      <c r="D189" s="6">
        <v>43067</v>
      </c>
      <c r="E189" s="6">
        <v>43044</v>
      </c>
      <c r="F189" s="3" t="s">
        <v>646</v>
      </c>
      <c r="G189" s="11">
        <v>54.15</v>
      </c>
      <c r="H189" s="3" t="s">
        <v>332</v>
      </c>
      <c r="I189" s="3" t="str">
        <f t="shared" si="2"/>
        <v>Oct</v>
      </c>
    </row>
    <row r="190" spans="1:9" x14ac:dyDescent="0.25">
      <c r="A190">
        <v>10408</v>
      </c>
      <c r="B190" t="s">
        <v>99</v>
      </c>
      <c r="C190" s="6">
        <v>42743</v>
      </c>
      <c r="D190" s="6">
        <v>42771</v>
      </c>
      <c r="E190" s="6">
        <v>42749</v>
      </c>
      <c r="F190" s="3" t="s">
        <v>644</v>
      </c>
      <c r="G190" s="11">
        <v>56.3</v>
      </c>
      <c r="H190" s="3" t="s">
        <v>334</v>
      </c>
      <c r="I190" s="3" t="str">
        <f t="shared" si="2"/>
        <v>Jan</v>
      </c>
    </row>
    <row r="191" spans="1:9" x14ac:dyDescent="0.25">
      <c r="A191">
        <v>10480</v>
      </c>
      <c r="B191" t="s">
        <v>99</v>
      </c>
      <c r="C191" s="6">
        <v>42814</v>
      </c>
      <c r="D191" s="6">
        <v>42842</v>
      </c>
      <c r="E191" s="6">
        <v>42818</v>
      </c>
      <c r="F191" s="3" t="s">
        <v>645</v>
      </c>
      <c r="G191" s="11">
        <v>6.75</v>
      </c>
      <c r="H191" s="3" t="s">
        <v>334</v>
      </c>
      <c r="I191" s="3" t="str">
        <f t="shared" si="2"/>
        <v>Mar</v>
      </c>
    </row>
    <row r="192" spans="1:9" x14ac:dyDescent="0.25">
      <c r="A192">
        <v>10634</v>
      </c>
      <c r="B192" t="s">
        <v>99</v>
      </c>
      <c r="C192" s="6">
        <v>42962</v>
      </c>
      <c r="D192" s="6">
        <v>42990</v>
      </c>
      <c r="E192" s="6">
        <v>42968</v>
      </c>
      <c r="F192" s="3" t="s">
        <v>646</v>
      </c>
      <c r="G192" s="11">
        <v>2436.9</v>
      </c>
      <c r="H192" s="3" t="s">
        <v>334</v>
      </c>
      <c r="I192" s="3" t="str">
        <f t="shared" si="2"/>
        <v>Aug</v>
      </c>
    </row>
    <row r="193" spans="1:9" x14ac:dyDescent="0.25">
      <c r="A193">
        <v>10763</v>
      </c>
      <c r="B193" t="s">
        <v>99</v>
      </c>
      <c r="C193" s="6">
        <v>43072</v>
      </c>
      <c r="D193" s="6">
        <v>43100</v>
      </c>
      <c r="E193" s="6">
        <v>43077</v>
      </c>
      <c r="F193" s="3" t="s">
        <v>646</v>
      </c>
      <c r="G193" s="11">
        <v>186.75</v>
      </c>
      <c r="H193" s="3" t="s">
        <v>334</v>
      </c>
      <c r="I193" s="3" t="str">
        <f t="shared" si="2"/>
        <v>Dec</v>
      </c>
    </row>
    <row r="194" spans="1:9" x14ac:dyDescent="0.25">
      <c r="A194">
        <v>10789</v>
      </c>
      <c r="B194" t="s">
        <v>99</v>
      </c>
      <c r="C194" s="6">
        <v>43091</v>
      </c>
      <c r="D194" s="6">
        <v>43119</v>
      </c>
      <c r="E194" s="6">
        <v>43100</v>
      </c>
      <c r="F194" s="3" t="s">
        <v>645</v>
      </c>
      <c r="G194" s="11">
        <v>503</v>
      </c>
      <c r="H194" s="3" t="s">
        <v>334</v>
      </c>
      <c r="I194" s="3" t="str">
        <f t="shared" si="2"/>
        <v>Dec</v>
      </c>
    </row>
    <row r="195" spans="1:9" x14ac:dyDescent="0.25">
      <c r="A195">
        <v>10264</v>
      </c>
      <c r="B195" t="s">
        <v>103</v>
      </c>
      <c r="C195" s="6">
        <v>42575</v>
      </c>
      <c r="D195" s="6">
        <v>42603</v>
      </c>
      <c r="E195" s="6">
        <v>42605</v>
      </c>
      <c r="F195" s="3" t="s">
        <v>646</v>
      </c>
      <c r="G195" s="11">
        <v>18.350000000000001</v>
      </c>
      <c r="H195" s="3" t="s">
        <v>335</v>
      </c>
      <c r="I195" s="3" t="str">
        <f t="shared" ref="I195:I258" si="3">TEXT(C195,"mmm")</f>
        <v>Jul</v>
      </c>
    </row>
    <row r="196" spans="1:9" x14ac:dyDescent="0.25">
      <c r="A196">
        <v>10327</v>
      </c>
      <c r="B196" t="s">
        <v>103</v>
      </c>
      <c r="C196" s="6">
        <v>42654</v>
      </c>
      <c r="D196" s="6">
        <v>42682</v>
      </c>
      <c r="E196" s="6">
        <v>42657</v>
      </c>
      <c r="F196" s="3" t="s">
        <v>644</v>
      </c>
      <c r="G196" s="11">
        <v>316.8</v>
      </c>
      <c r="H196" s="3" t="s">
        <v>335</v>
      </c>
      <c r="I196" s="3" t="str">
        <f t="shared" si="3"/>
        <v>Oct</v>
      </c>
    </row>
    <row r="197" spans="1:9" x14ac:dyDescent="0.25">
      <c r="A197">
        <v>10378</v>
      </c>
      <c r="B197" t="s">
        <v>103</v>
      </c>
      <c r="C197" s="6">
        <v>42714</v>
      </c>
      <c r="D197" s="6">
        <v>42742</v>
      </c>
      <c r="E197" s="6">
        <v>42723</v>
      </c>
      <c r="F197" s="3" t="s">
        <v>646</v>
      </c>
      <c r="G197" s="11">
        <v>27.200000000000003</v>
      </c>
      <c r="H197" s="3" t="s">
        <v>335</v>
      </c>
      <c r="I197" s="3" t="str">
        <f t="shared" si="3"/>
        <v>Dec</v>
      </c>
    </row>
    <row r="198" spans="1:9" x14ac:dyDescent="0.25">
      <c r="A198">
        <v>10434</v>
      </c>
      <c r="B198" t="s">
        <v>103</v>
      </c>
      <c r="C198" s="6">
        <v>42769</v>
      </c>
      <c r="D198" s="6">
        <v>42797</v>
      </c>
      <c r="E198" s="6">
        <v>42779</v>
      </c>
      <c r="F198" s="3" t="s">
        <v>645</v>
      </c>
      <c r="G198" s="11">
        <v>89.600000000000009</v>
      </c>
      <c r="H198" s="3" t="s">
        <v>335</v>
      </c>
      <c r="I198" s="3" t="str">
        <f t="shared" si="3"/>
        <v>Feb</v>
      </c>
    </row>
    <row r="199" spans="1:9" x14ac:dyDescent="0.25">
      <c r="A199">
        <v>10460</v>
      </c>
      <c r="B199" t="s">
        <v>103</v>
      </c>
      <c r="C199" s="6">
        <v>42794</v>
      </c>
      <c r="D199" s="6">
        <v>42822</v>
      </c>
      <c r="E199" s="6">
        <v>42797</v>
      </c>
      <c r="F199" s="3" t="s">
        <v>644</v>
      </c>
      <c r="G199" s="11">
        <v>81.349999999999994</v>
      </c>
      <c r="H199" s="3" t="s">
        <v>335</v>
      </c>
      <c r="I199" s="3" t="str">
        <f t="shared" si="3"/>
        <v>Feb</v>
      </c>
    </row>
    <row r="200" spans="1:9" x14ac:dyDescent="0.25">
      <c r="A200">
        <v>10533</v>
      </c>
      <c r="B200" t="s">
        <v>103</v>
      </c>
      <c r="C200" s="6">
        <v>42867</v>
      </c>
      <c r="D200" s="6">
        <v>42895</v>
      </c>
      <c r="E200" s="6">
        <v>42877</v>
      </c>
      <c r="F200" s="3" t="s">
        <v>644</v>
      </c>
      <c r="G200" s="11">
        <v>940.19999999999993</v>
      </c>
      <c r="H200" s="3" t="s">
        <v>335</v>
      </c>
      <c r="I200" s="3" t="str">
        <f t="shared" si="3"/>
        <v>May</v>
      </c>
    </row>
    <row r="201" spans="1:9" x14ac:dyDescent="0.25">
      <c r="A201">
        <v>10561</v>
      </c>
      <c r="B201" t="s">
        <v>103</v>
      </c>
      <c r="C201" s="6">
        <v>42892</v>
      </c>
      <c r="D201" s="6">
        <v>42920</v>
      </c>
      <c r="E201" s="6">
        <v>42895</v>
      </c>
      <c r="F201" s="3" t="s">
        <v>645</v>
      </c>
      <c r="G201" s="11">
        <v>1211.05</v>
      </c>
      <c r="H201" s="3" t="s">
        <v>335</v>
      </c>
      <c r="I201" s="3" t="str">
        <f t="shared" si="3"/>
        <v>Jun</v>
      </c>
    </row>
    <row r="202" spans="1:9" x14ac:dyDescent="0.25">
      <c r="A202">
        <v>10703</v>
      </c>
      <c r="B202" t="s">
        <v>103</v>
      </c>
      <c r="C202" s="6">
        <v>43022</v>
      </c>
      <c r="D202" s="6">
        <v>43050</v>
      </c>
      <c r="E202" s="6">
        <v>43028</v>
      </c>
      <c r="F202" s="3" t="s">
        <v>645</v>
      </c>
      <c r="G202" s="11">
        <v>761.5</v>
      </c>
      <c r="H202" s="3" t="s">
        <v>335</v>
      </c>
      <c r="I202" s="3" t="str">
        <f t="shared" si="3"/>
        <v>Oct</v>
      </c>
    </row>
    <row r="203" spans="1:9" x14ac:dyDescent="0.25">
      <c r="A203">
        <v>10762</v>
      </c>
      <c r="B203" t="s">
        <v>103</v>
      </c>
      <c r="C203" s="6">
        <v>43071</v>
      </c>
      <c r="D203" s="6">
        <v>43099</v>
      </c>
      <c r="E203" s="6">
        <v>43078</v>
      </c>
      <c r="F203" s="3" t="s">
        <v>644</v>
      </c>
      <c r="G203" s="11">
        <v>1643.7</v>
      </c>
      <c r="H203" s="3" t="s">
        <v>335</v>
      </c>
      <c r="I203" s="3" t="str">
        <f t="shared" si="3"/>
        <v>Dec</v>
      </c>
    </row>
    <row r="204" spans="1:9" x14ac:dyDescent="0.25">
      <c r="A204">
        <v>10774</v>
      </c>
      <c r="B204" t="s">
        <v>103</v>
      </c>
      <c r="C204" s="6">
        <v>43080</v>
      </c>
      <c r="D204" s="6">
        <v>43094</v>
      </c>
      <c r="E204" s="6">
        <v>43081</v>
      </c>
      <c r="F204" s="3" t="s">
        <v>644</v>
      </c>
      <c r="G204" s="11">
        <v>241</v>
      </c>
      <c r="H204" s="3" t="s">
        <v>335</v>
      </c>
      <c r="I204" s="3" t="str">
        <f t="shared" si="3"/>
        <v>Dec</v>
      </c>
    </row>
    <row r="205" spans="1:9" x14ac:dyDescent="0.25">
      <c r="A205">
        <v>10824</v>
      </c>
      <c r="B205" t="s">
        <v>103</v>
      </c>
      <c r="C205" s="6">
        <v>43109</v>
      </c>
      <c r="D205" s="6">
        <v>43137</v>
      </c>
      <c r="E205" s="6">
        <v>43130</v>
      </c>
      <c r="F205" s="3" t="s">
        <v>644</v>
      </c>
      <c r="G205" s="11">
        <v>6.15</v>
      </c>
      <c r="H205" s="3" t="s">
        <v>335</v>
      </c>
      <c r="I205" s="3" t="str">
        <f t="shared" si="3"/>
        <v>Jan</v>
      </c>
    </row>
    <row r="206" spans="1:9" x14ac:dyDescent="0.25">
      <c r="A206">
        <v>10880</v>
      </c>
      <c r="B206" t="s">
        <v>103</v>
      </c>
      <c r="C206" s="6">
        <v>43141</v>
      </c>
      <c r="D206" s="6">
        <v>43183</v>
      </c>
      <c r="E206" s="6">
        <v>43149</v>
      </c>
      <c r="F206" s="3" t="s">
        <v>644</v>
      </c>
      <c r="G206" s="11">
        <v>440.05</v>
      </c>
      <c r="H206" s="3" t="s">
        <v>335</v>
      </c>
      <c r="I206" s="3" t="str">
        <f t="shared" si="3"/>
        <v>Feb</v>
      </c>
    </row>
    <row r="207" spans="1:9" x14ac:dyDescent="0.25">
      <c r="A207">
        <v>10902</v>
      </c>
      <c r="B207" t="s">
        <v>103</v>
      </c>
      <c r="C207" s="6">
        <v>43154</v>
      </c>
      <c r="D207" s="6">
        <v>43182</v>
      </c>
      <c r="E207" s="6">
        <v>43162</v>
      </c>
      <c r="F207" s="3" t="s">
        <v>644</v>
      </c>
      <c r="G207" s="11">
        <v>220.75</v>
      </c>
      <c r="H207" s="3" t="s">
        <v>335</v>
      </c>
      <c r="I207" s="3" t="str">
        <f t="shared" si="3"/>
        <v>Feb</v>
      </c>
    </row>
    <row r="208" spans="1:9" x14ac:dyDescent="0.25">
      <c r="A208">
        <v>10955</v>
      </c>
      <c r="B208" t="s">
        <v>103</v>
      </c>
      <c r="C208" s="6">
        <v>43176</v>
      </c>
      <c r="D208" s="6">
        <v>43204</v>
      </c>
      <c r="E208" s="6">
        <v>43179</v>
      </c>
      <c r="F208" s="3" t="s">
        <v>645</v>
      </c>
      <c r="G208" s="11">
        <v>16.299999999999997</v>
      </c>
      <c r="H208" s="3" t="s">
        <v>335</v>
      </c>
      <c r="I208" s="3" t="str">
        <f t="shared" si="3"/>
        <v>Mar</v>
      </c>
    </row>
    <row r="209" spans="1:9" x14ac:dyDescent="0.25">
      <c r="A209">
        <v>10977</v>
      </c>
      <c r="B209" t="s">
        <v>103</v>
      </c>
      <c r="C209" s="6">
        <v>43185</v>
      </c>
      <c r="D209" s="6">
        <v>43213</v>
      </c>
      <c r="E209" s="6">
        <v>43200</v>
      </c>
      <c r="F209" s="3" t="s">
        <v>646</v>
      </c>
      <c r="G209" s="11">
        <v>1042.5</v>
      </c>
      <c r="H209" s="3" t="s">
        <v>335</v>
      </c>
      <c r="I209" s="3" t="str">
        <f t="shared" si="3"/>
        <v>Mar</v>
      </c>
    </row>
    <row r="210" spans="1:9" x14ac:dyDescent="0.25">
      <c r="A210">
        <v>10980</v>
      </c>
      <c r="B210" t="s">
        <v>103</v>
      </c>
      <c r="C210" s="6">
        <v>43186</v>
      </c>
      <c r="D210" s="6">
        <v>43228</v>
      </c>
      <c r="E210" s="6">
        <v>43207</v>
      </c>
      <c r="F210" s="3" t="s">
        <v>644</v>
      </c>
      <c r="G210" s="11">
        <v>6.3</v>
      </c>
      <c r="H210" s="3" t="s">
        <v>335</v>
      </c>
      <c r="I210" s="3" t="str">
        <f t="shared" si="3"/>
        <v>Mar</v>
      </c>
    </row>
    <row r="211" spans="1:9" x14ac:dyDescent="0.25">
      <c r="A211">
        <v>10993</v>
      </c>
      <c r="B211" t="s">
        <v>103</v>
      </c>
      <c r="C211" s="6">
        <v>43191</v>
      </c>
      <c r="D211" s="6">
        <v>43219</v>
      </c>
      <c r="E211" s="6">
        <v>43200</v>
      </c>
      <c r="F211" s="3" t="s">
        <v>646</v>
      </c>
      <c r="G211" s="11">
        <v>44.050000000000004</v>
      </c>
      <c r="H211" s="3" t="s">
        <v>335</v>
      </c>
      <c r="I211" s="3" t="str">
        <f t="shared" si="3"/>
        <v>Apr</v>
      </c>
    </row>
    <row r="212" spans="1:9" x14ac:dyDescent="0.25">
      <c r="A212">
        <v>11001</v>
      </c>
      <c r="B212" t="s">
        <v>103</v>
      </c>
      <c r="C212" s="6">
        <v>43196</v>
      </c>
      <c r="D212" s="6">
        <v>43224</v>
      </c>
      <c r="E212" s="6">
        <v>43204</v>
      </c>
      <c r="F212" s="3" t="s">
        <v>645</v>
      </c>
      <c r="G212" s="11">
        <v>986.5</v>
      </c>
      <c r="H212" s="3" t="s">
        <v>335</v>
      </c>
      <c r="I212" s="3" t="str">
        <f t="shared" si="3"/>
        <v>Apr</v>
      </c>
    </row>
    <row r="213" spans="1:9" x14ac:dyDescent="0.25">
      <c r="A213">
        <v>11050</v>
      </c>
      <c r="B213" t="s">
        <v>103</v>
      </c>
      <c r="C213" s="6">
        <v>43217</v>
      </c>
      <c r="D213" s="6">
        <v>43245</v>
      </c>
      <c r="E213" s="6">
        <v>43225</v>
      </c>
      <c r="F213" s="3" t="s">
        <v>645</v>
      </c>
      <c r="G213" s="11">
        <v>297.04999999999995</v>
      </c>
      <c r="H213" s="3" t="s">
        <v>335</v>
      </c>
      <c r="I213" s="3" t="str">
        <f t="shared" si="3"/>
        <v>Apr</v>
      </c>
    </row>
    <row r="214" spans="1:9" x14ac:dyDescent="0.25">
      <c r="A214">
        <v>10267</v>
      </c>
      <c r="B214" t="s">
        <v>105</v>
      </c>
      <c r="C214" s="6">
        <v>42580</v>
      </c>
      <c r="D214" s="6">
        <v>42608</v>
      </c>
      <c r="E214" s="6">
        <v>42588</v>
      </c>
      <c r="F214" s="3" t="s">
        <v>644</v>
      </c>
      <c r="G214" s="11">
        <v>1042.9000000000001</v>
      </c>
      <c r="H214" s="3" t="s">
        <v>336</v>
      </c>
      <c r="I214" s="3" t="str">
        <f t="shared" si="3"/>
        <v>Jul</v>
      </c>
    </row>
    <row r="215" spans="1:9" x14ac:dyDescent="0.25">
      <c r="A215">
        <v>10337</v>
      </c>
      <c r="B215" t="s">
        <v>105</v>
      </c>
      <c r="C215" s="6">
        <v>42667</v>
      </c>
      <c r="D215" s="6">
        <v>42695</v>
      </c>
      <c r="E215" s="6">
        <v>42672</v>
      </c>
      <c r="F215" s="3" t="s">
        <v>646</v>
      </c>
      <c r="G215" s="11">
        <v>541.30000000000007</v>
      </c>
      <c r="H215" s="3" t="s">
        <v>336</v>
      </c>
      <c r="I215" s="3" t="str">
        <f t="shared" si="3"/>
        <v>Oct</v>
      </c>
    </row>
    <row r="216" spans="1:9" x14ac:dyDescent="0.25">
      <c r="A216">
        <v>10342</v>
      </c>
      <c r="B216" t="s">
        <v>105</v>
      </c>
      <c r="C216" s="6">
        <v>42673</v>
      </c>
      <c r="D216" s="6">
        <v>42687</v>
      </c>
      <c r="E216" s="6">
        <v>42678</v>
      </c>
      <c r="F216" s="3" t="s">
        <v>645</v>
      </c>
      <c r="G216" s="11">
        <v>274.14999999999998</v>
      </c>
      <c r="H216" s="3" t="s">
        <v>336</v>
      </c>
      <c r="I216" s="3" t="str">
        <f t="shared" si="3"/>
        <v>Oct</v>
      </c>
    </row>
    <row r="217" spans="1:9" x14ac:dyDescent="0.25">
      <c r="A217">
        <v>10396</v>
      </c>
      <c r="B217" t="s">
        <v>105</v>
      </c>
      <c r="C217" s="6">
        <v>42731</v>
      </c>
      <c r="D217" s="6">
        <v>42745</v>
      </c>
      <c r="E217" s="6">
        <v>42741</v>
      </c>
      <c r="F217" s="3" t="s">
        <v>646</v>
      </c>
      <c r="G217" s="11">
        <v>676.75</v>
      </c>
      <c r="H217" s="3" t="s">
        <v>336</v>
      </c>
      <c r="I217" s="3" t="str">
        <f t="shared" si="3"/>
        <v>Dec</v>
      </c>
    </row>
    <row r="218" spans="1:9" x14ac:dyDescent="0.25">
      <c r="A218">
        <v>10488</v>
      </c>
      <c r="B218" t="s">
        <v>105</v>
      </c>
      <c r="C218" s="6">
        <v>42821</v>
      </c>
      <c r="D218" s="6">
        <v>42849</v>
      </c>
      <c r="E218" s="6">
        <v>42827</v>
      </c>
      <c r="F218" s="3" t="s">
        <v>645</v>
      </c>
      <c r="G218" s="11">
        <v>24.65</v>
      </c>
      <c r="H218" s="3" t="s">
        <v>336</v>
      </c>
      <c r="I218" s="3" t="str">
        <f t="shared" si="3"/>
        <v>Mar</v>
      </c>
    </row>
    <row r="219" spans="1:9" x14ac:dyDescent="0.25">
      <c r="A219">
        <v>10560</v>
      </c>
      <c r="B219" t="s">
        <v>105</v>
      </c>
      <c r="C219" s="6">
        <v>42892</v>
      </c>
      <c r="D219" s="6">
        <v>42920</v>
      </c>
      <c r="E219" s="6">
        <v>42895</v>
      </c>
      <c r="F219" s="3" t="s">
        <v>644</v>
      </c>
      <c r="G219" s="11">
        <v>183.25</v>
      </c>
      <c r="H219" s="3" t="s">
        <v>336</v>
      </c>
      <c r="I219" s="3" t="str">
        <f t="shared" si="3"/>
        <v>Jun</v>
      </c>
    </row>
    <row r="220" spans="1:9" x14ac:dyDescent="0.25">
      <c r="A220">
        <v>10623</v>
      </c>
      <c r="B220" t="s">
        <v>105</v>
      </c>
      <c r="C220" s="6">
        <v>42954</v>
      </c>
      <c r="D220" s="6">
        <v>42982</v>
      </c>
      <c r="E220" s="6">
        <v>42959</v>
      </c>
      <c r="F220" s="3" t="s">
        <v>645</v>
      </c>
      <c r="G220" s="11">
        <v>485.90000000000003</v>
      </c>
      <c r="H220" s="3" t="s">
        <v>336</v>
      </c>
      <c r="I220" s="3" t="str">
        <f t="shared" si="3"/>
        <v>Aug</v>
      </c>
    </row>
    <row r="221" spans="1:9" x14ac:dyDescent="0.25">
      <c r="A221">
        <v>10653</v>
      </c>
      <c r="B221" t="s">
        <v>105</v>
      </c>
      <c r="C221" s="6">
        <v>42980</v>
      </c>
      <c r="D221" s="6">
        <v>43008</v>
      </c>
      <c r="E221" s="6">
        <v>42997</v>
      </c>
      <c r="F221" s="3" t="s">
        <v>644</v>
      </c>
      <c r="G221" s="11">
        <v>466.25</v>
      </c>
      <c r="H221" s="3" t="s">
        <v>336</v>
      </c>
      <c r="I221" s="3" t="str">
        <f t="shared" si="3"/>
        <v>Sep</v>
      </c>
    </row>
    <row r="222" spans="1:9" x14ac:dyDescent="0.25">
      <c r="A222">
        <v>10670</v>
      </c>
      <c r="B222" t="s">
        <v>105</v>
      </c>
      <c r="C222" s="6">
        <v>42994</v>
      </c>
      <c r="D222" s="6">
        <v>43022</v>
      </c>
      <c r="E222" s="6">
        <v>42996</v>
      </c>
      <c r="F222" s="3" t="s">
        <v>644</v>
      </c>
      <c r="G222" s="11">
        <v>1017.4</v>
      </c>
      <c r="H222" s="3" t="s">
        <v>336</v>
      </c>
      <c r="I222" s="3" t="str">
        <f t="shared" si="3"/>
        <v>Sep</v>
      </c>
    </row>
    <row r="223" spans="1:9" x14ac:dyDescent="0.25">
      <c r="A223">
        <v>10675</v>
      </c>
      <c r="B223" t="s">
        <v>105</v>
      </c>
      <c r="C223" s="6">
        <v>42997</v>
      </c>
      <c r="D223" s="6">
        <v>43025</v>
      </c>
      <c r="E223" s="6">
        <v>43001</v>
      </c>
      <c r="F223" s="3" t="s">
        <v>645</v>
      </c>
      <c r="G223" s="11">
        <v>159.25</v>
      </c>
      <c r="H223" s="3" t="s">
        <v>336</v>
      </c>
      <c r="I223" s="3" t="str">
        <f t="shared" si="3"/>
        <v>Sep</v>
      </c>
    </row>
    <row r="224" spans="1:9" x14ac:dyDescent="0.25">
      <c r="A224">
        <v>10717</v>
      </c>
      <c r="B224" t="s">
        <v>105</v>
      </c>
      <c r="C224" s="6">
        <v>43032</v>
      </c>
      <c r="D224" s="6">
        <v>43060</v>
      </c>
      <c r="E224" s="6">
        <v>43037</v>
      </c>
      <c r="F224" s="3" t="s">
        <v>645</v>
      </c>
      <c r="G224" s="11">
        <v>296.25</v>
      </c>
      <c r="H224" s="3" t="s">
        <v>336</v>
      </c>
      <c r="I224" s="3" t="str">
        <f t="shared" si="3"/>
        <v>Oct</v>
      </c>
    </row>
    <row r="225" spans="1:9" x14ac:dyDescent="0.25">
      <c r="A225">
        <v>10791</v>
      </c>
      <c r="B225" t="s">
        <v>105</v>
      </c>
      <c r="C225" s="6">
        <v>43092</v>
      </c>
      <c r="D225" s="6">
        <v>43120</v>
      </c>
      <c r="E225" s="6">
        <v>43101</v>
      </c>
      <c r="F225" s="3" t="s">
        <v>645</v>
      </c>
      <c r="G225" s="11">
        <v>84.25</v>
      </c>
      <c r="H225" s="3" t="s">
        <v>336</v>
      </c>
      <c r="I225" s="3" t="str">
        <f t="shared" si="3"/>
        <v>Dec</v>
      </c>
    </row>
    <row r="226" spans="1:9" x14ac:dyDescent="0.25">
      <c r="A226">
        <v>10859</v>
      </c>
      <c r="B226" t="s">
        <v>105</v>
      </c>
      <c r="C226" s="6">
        <v>43129</v>
      </c>
      <c r="D226" s="6">
        <v>43157</v>
      </c>
      <c r="E226" s="6">
        <v>43133</v>
      </c>
      <c r="F226" s="3" t="s">
        <v>645</v>
      </c>
      <c r="G226" s="11">
        <v>380.5</v>
      </c>
      <c r="H226" s="3" t="s">
        <v>336</v>
      </c>
      <c r="I226" s="3" t="str">
        <f t="shared" si="3"/>
        <v>Jan</v>
      </c>
    </row>
    <row r="227" spans="1:9" x14ac:dyDescent="0.25">
      <c r="A227">
        <v>10929</v>
      </c>
      <c r="B227" t="s">
        <v>105</v>
      </c>
      <c r="C227" s="6">
        <v>43164</v>
      </c>
      <c r="D227" s="6">
        <v>43192</v>
      </c>
      <c r="E227" s="6">
        <v>43171</v>
      </c>
      <c r="F227" s="3" t="s">
        <v>644</v>
      </c>
      <c r="G227" s="11">
        <v>169.65</v>
      </c>
      <c r="H227" s="3" t="s">
        <v>336</v>
      </c>
      <c r="I227" s="3" t="str">
        <f t="shared" si="3"/>
        <v>Mar</v>
      </c>
    </row>
    <row r="228" spans="1:9" x14ac:dyDescent="0.25">
      <c r="A228">
        <v>11012</v>
      </c>
      <c r="B228" t="s">
        <v>105</v>
      </c>
      <c r="C228" s="6">
        <v>43199</v>
      </c>
      <c r="D228" s="6">
        <v>43213</v>
      </c>
      <c r="E228" s="6">
        <v>43207</v>
      </c>
      <c r="F228" s="3" t="s">
        <v>646</v>
      </c>
      <c r="G228" s="11">
        <v>1214.75</v>
      </c>
      <c r="H228" s="3" t="s">
        <v>336</v>
      </c>
      <c r="I228" s="3" t="str">
        <f t="shared" si="3"/>
        <v>Apr</v>
      </c>
    </row>
    <row r="229" spans="1:9" x14ac:dyDescent="0.25">
      <c r="A229">
        <v>10671</v>
      </c>
      <c r="B229" t="s">
        <v>108</v>
      </c>
      <c r="C229" s="6">
        <v>42995</v>
      </c>
      <c r="D229" s="6">
        <v>43023</v>
      </c>
      <c r="E229" s="6">
        <v>43002</v>
      </c>
      <c r="F229" s="3" t="s">
        <v>644</v>
      </c>
      <c r="G229" s="11">
        <v>151.69999999999999</v>
      </c>
      <c r="H229" s="3" t="s">
        <v>337</v>
      </c>
      <c r="I229" s="3" t="str">
        <f t="shared" si="3"/>
        <v>Sep</v>
      </c>
    </row>
    <row r="230" spans="1:9" x14ac:dyDescent="0.25">
      <c r="A230">
        <v>10860</v>
      </c>
      <c r="B230" t="s">
        <v>108</v>
      </c>
      <c r="C230" s="6">
        <v>43129</v>
      </c>
      <c r="D230" s="6">
        <v>43157</v>
      </c>
      <c r="E230" s="6">
        <v>43135</v>
      </c>
      <c r="F230" s="3" t="s">
        <v>646</v>
      </c>
      <c r="G230" s="11">
        <v>96.300000000000011</v>
      </c>
      <c r="H230" s="3" t="s">
        <v>337</v>
      </c>
      <c r="I230" s="3" t="str">
        <f t="shared" si="3"/>
        <v>Jan</v>
      </c>
    </row>
    <row r="231" spans="1:9" x14ac:dyDescent="0.25">
      <c r="A231">
        <v>10971</v>
      </c>
      <c r="B231" t="s">
        <v>108</v>
      </c>
      <c r="C231" s="6">
        <v>43183</v>
      </c>
      <c r="D231" s="6">
        <v>43211</v>
      </c>
      <c r="E231" s="6">
        <v>43192</v>
      </c>
      <c r="F231" s="3" t="s">
        <v>645</v>
      </c>
      <c r="G231" s="11">
        <v>609.09999999999991</v>
      </c>
      <c r="H231" s="3" t="s">
        <v>337</v>
      </c>
      <c r="I231" s="3" t="str">
        <f t="shared" si="3"/>
        <v>Mar</v>
      </c>
    </row>
    <row r="232" spans="1:9" x14ac:dyDescent="0.25">
      <c r="A232">
        <v>10422</v>
      </c>
      <c r="B232" t="s">
        <v>111</v>
      </c>
      <c r="C232" s="6">
        <v>42757</v>
      </c>
      <c r="D232" s="6">
        <v>42785</v>
      </c>
      <c r="E232" s="6">
        <v>42766</v>
      </c>
      <c r="F232" s="3" t="s">
        <v>644</v>
      </c>
      <c r="G232" s="11">
        <v>15.1</v>
      </c>
      <c r="H232" s="3" t="s">
        <v>338</v>
      </c>
      <c r="I232" s="3" t="str">
        <f t="shared" si="3"/>
        <v>Jan</v>
      </c>
    </row>
    <row r="233" spans="1:9" x14ac:dyDescent="0.25">
      <c r="A233">
        <v>10710</v>
      </c>
      <c r="B233" t="s">
        <v>111</v>
      </c>
      <c r="C233" s="6">
        <v>43028</v>
      </c>
      <c r="D233" s="6">
        <v>43056</v>
      </c>
      <c r="E233" s="6">
        <v>43031</v>
      </c>
      <c r="F233" s="3" t="s">
        <v>644</v>
      </c>
      <c r="G233" s="11">
        <v>24.900000000000002</v>
      </c>
      <c r="H233" s="3" t="s">
        <v>338</v>
      </c>
      <c r="I233" s="3" t="str">
        <f t="shared" si="3"/>
        <v>Oct</v>
      </c>
    </row>
    <row r="234" spans="1:9" x14ac:dyDescent="0.25">
      <c r="A234">
        <v>10753</v>
      </c>
      <c r="B234" t="s">
        <v>111</v>
      </c>
      <c r="C234" s="6">
        <v>43064</v>
      </c>
      <c r="D234" s="6">
        <v>43092</v>
      </c>
      <c r="E234" s="6">
        <v>43066</v>
      </c>
      <c r="F234" s="3" t="s">
        <v>644</v>
      </c>
      <c r="G234" s="11">
        <v>38.5</v>
      </c>
      <c r="H234" s="3" t="s">
        <v>338</v>
      </c>
      <c r="I234" s="3" t="str">
        <f t="shared" si="3"/>
        <v>Nov</v>
      </c>
    </row>
    <row r="235" spans="1:9" x14ac:dyDescent="0.25">
      <c r="A235">
        <v>10807</v>
      </c>
      <c r="B235" t="s">
        <v>111</v>
      </c>
      <c r="C235" s="6">
        <v>43100</v>
      </c>
      <c r="D235" s="6">
        <v>43128</v>
      </c>
      <c r="E235" s="6">
        <v>43130</v>
      </c>
      <c r="F235" s="3" t="s">
        <v>644</v>
      </c>
      <c r="G235" s="11">
        <v>6.8000000000000007</v>
      </c>
      <c r="H235" s="3" t="s">
        <v>338</v>
      </c>
      <c r="I235" s="3" t="str">
        <f t="shared" si="3"/>
        <v>Dec</v>
      </c>
    </row>
    <row r="236" spans="1:9" x14ac:dyDescent="0.25">
      <c r="A236">
        <v>11026</v>
      </c>
      <c r="B236" t="s">
        <v>111</v>
      </c>
      <c r="C236" s="6">
        <v>43205</v>
      </c>
      <c r="D236" s="6">
        <v>43233</v>
      </c>
      <c r="E236" s="6">
        <v>43218</v>
      </c>
      <c r="F236" s="3" t="s">
        <v>644</v>
      </c>
      <c r="G236" s="11">
        <v>235.45000000000002</v>
      </c>
      <c r="H236" s="3" t="s">
        <v>338</v>
      </c>
      <c r="I236" s="3" t="str">
        <f t="shared" si="3"/>
        <v>Apr</v>
      </c>
    </row>
    <row r="237" spans="1:9" x14ac:dyDescent="0.25">
      <c r="A237">
        <v>11060</v>
      </c>
      <c r="B237" t="s">
        <v>111</v>
      </c>
      <c r="C237" s="6">
        <v>43220</v>
      </c>
      <c r="D237" s="6">
        <v>43248</v>
      </c>
      <c r="E237" s="6">
        <v>43224</v>
      </c>
      <c r="F237" s="3" t="s">
        <v>645</v>
      </c>
      <c r="G237" s="11">
        <v>54.900000000000006</v>
      </c>
      <c r="H237" s="3" t="s">
        <v>338</v>
      </c>
      <c r="I237" s="3" t="str">
        <f t="shared" si="3"/>
        <v>Apr</v>
      </c>
    </row>
    <row r="238" spans="1:9" x14ac:dyDescent="0.25">
      <c r="A238">
        <v>10328</v>
      </c>
      <c r="B238" t="s">
        <v>114</v>
      </c>
      <c r="C238" s="6">
        <v>42657</v>
      </c>
      <c r="D238" s="6">
        <v>42685</v>
      </c>
      <c r="E238" s="6">
        <v>42660</v>
      </c>
      <c r="F238" s="3" t="s">
        <v>646</v>
      </c>
      <c r="G238" s="11">
        <v>435.15</v>
      </c>
      <c r="H238" s="3" t="s">
        <v>339</v>
      </c>
      <c r="I238" s="3" t="str">
        <f t="shared" si="3"/>
        <v>Oct</v>
      </c>
    </row>
    <row r="239" spans="1:9" x14ac:dyDescent="0.25">
      <c r="A239">
        <v>10352</v>
      </c>
      <c r="B239" t="s">
        <v>114</v>
      </c>
      <c r="C239" s="6">
        <v>42686</v>
      </c>
      <c r="D239" s="6">
        <v>42700</v>
      </c>
      <c r="E239" s="6">
        <v>42692</v>
      </c>
      <c r="F239" s="3" t="s">
        <v>646</v>
      </c>
      <c r="G239" s="11">
        <v>6.5</v>
      </c>
      <c r="H239" s="3" t="s">
        <v>339</v>
      </c>
      <c r="I239" s="3" t="str">
        <f t="shared" si="3"/>
        <v>Nov</v>
      </c>
    </row>
    <row r="240" spans="1:9" x14ac:dyDescent="0.25">
      <c r="A240">
        <v>10464</v>
      </c>
      <c r="B240" t="s">
        <v>114</v>
      </c>
      <c r="C240" s="6">
        <v>42798</v>
      </c>
      <c r="D240" s="6">
        <v>42826</v>
      </c>
      <c r="E240" s="6">
        <v>42808</v>
      </c>
      <c r="F240" s="3" t="s">
        <v>645</v>
      </c>
      <c r="G240" s="11">
        <v>445</v>
      </c>
      <c r="H240" s="3" t="s">
        <v>339</v>
      </c>
      <c r="I240" s="3" t="str">
        <f t="shared" si="3"/>
        <v>Mar</v>
      </c>
    </row>
    <row r="241" spans="1:9" x14ac:dyDescent="0.25">
      <c r="A241">
        <v>10491</v>
      </c>
      <c r="B241" t="s">
        <v>114</v>
      </c>
      <c r="C241" s="6">
        <v>42825</v>
      </c>
      <c r="D241" s="6">
        <v>42853</v>
      </c>
      <c r="E241" s="6">
        <v>42833</v>
      </c>
      <c r="F241" s="3" t="s">
        <v>646</v>
      </c>
      <c r="G241" s="11">
        <v>84.800000000000011</v>
      </c>
      <c r="H241" s="3" t="s">
        <v>339</v>
      </c>
      <c r="I241" s="3" t="str">
        <f t="shared" si="3"/>
        <v>Mar</v>
      </c>
    </row>
    <row r="242" spans="1:9" x14ac:dyDescent="0.25">
      <c r="A242">
        <v>10551</v>
      </c>
      <c r="B242" t="s">
        <v>114</v>
      </c>
      <c r="C242" s="6">
        <v>42883</v>
      </c>
      <c r="D242" s="6">
        <v>42925</v>
      </c>
      <c r="E242" s="6">
        <v>42892</v>
      </c>
      <c r="F242" s="3" t="s">
        <v>646</v>
      </c>
      <c r="G242" s="11">
        <v>364.75</v>
      </c>
      <c r="H242" s="3" t="s">
        <v>339</v>
      </c>
      <c r="I242" s="3" t="str">
        <f t="shared" si="3"/>
        <v>May</v>
      </c>
    </row>
    <row r="243" spans="1:9" x14ac:dyDescent="0.25">
      <c r="A243">
        <v>10604</v>
      </c>
      <c r="B243" t="s">
        <v>114</v>
      </c>
      <c r="C243" s="6">
        <v>42934</v>
      </c>
      <c r="D243" s="6">
        <v>42962</v>
      </c>
      <c r="E243" s="6">
        <v>42945</v>
      </c>
      <c r="F243" s="3" t="s">
        <v>644</v>
      </c>
      <c r="G243" s="11">
        <v>37.299999999999997</v>
      </c>
      <c r="H243" s="3" t="s">
        <v>339</v>
      </c>
      <c r="I243" s="3" t="str">
        <f t="shared" si="3"/>
        <v>Jul</v>
      </c>
    </row>
    <row r="244" spans="1:9" x14ac:dyDescent="0.25">
      <c r="A244">
        <v>10664</v>
      </c>
      <c r="B244" t="s">
        <v>114</v>
      </c>
      <c r="C244" s="6">
        <v>42988</v>
      </c>
      <c r="D244" s="6">
        <v>43016</v>
      </c>
      <c r="E244" s="6">
        <v>42997</v>
      </c>
      <c r="F244" s="3" t="s">
        <v>646</v>
      </c>
      <c r="G244" s="11">
        <v>6.35</v>
      </c>
      <c r="H244" s="3" t="s">
        <v>339</v>
      </c>
      <c r="I244" s="3" t="str">
        <f t="shared" si="3"/>
        <v>Sep</v>
      </c>
    </row>
    <row r="245" spans="1:9" x14ac:dyDescent="0.25">
      <c r="A245">
        <v>10963</v>
      </c>
      <c r="B245" t="s">
        <v>114</v>
      </c>
      <c r="C245" s="6">
        <v>43178</v>
      </c>
      <c r="D245" s="6">
        <v>43206</v>
      </c>
      <c r="E245" s="6">
        <v>43185</v>
      </c>
      <c r="F245" s="3" t="s">
        <v>646</v>
      </c>
      <c r="G245" s="11">
        <v>13.5</v>
      </c>
      <c r="H245" s="3" t="s">
        <v>339</v>
      </c>
      <c r="I245" s="3" t="str">
        <f t="shared" si="3"/>
        <v>Mar</v>
      </c>
    </row>
    <row r="246" spans="1:9" x14ac:dyDescent="0.25">
      <c r="A246">
        <v>10366</v>
      </c>
      <c r="B246" t="s">
        <v>117</v>
      </c>
      <c r="C246" s="6">
        <v>42702</v>
      </c>
      <c r="D246" s="6">
        <v>42744</v>
      </c>
      <c r="E246" s="6">
        <v>42734</v>
      </c>
      <c r="F246" s="3" t="s">
        <v>645</v>
      </c>
      <c r="G246" s="11">
        <v>50.7</v>
      </c>
      <c r="H246" s="3" t="s">
        <v>340</v>
      </c>
      <c r="I246" s="3" t="str">
        <f t="shared" si="3"/>
        <v>Nov</v>
      </c>
    </row>
    <row r="247" spans="1:9" x14ac:dyDescent="0.25">
      <c r="A247">
        <v>10426</v>
      </c>
      <c r="B247" t="s">
        <v>117</v>
      </c>
      <c r="C247" s="6">
        <v>42762</v>
      </c>
      <c r="D247" s="6">
        <v>42790</v>
      </c>
      <c r="E247" s="6">
        <v>42772</v>
      </c>
      <c r="F247" s="3" t="s">
        <v>644</v>
      </c>
      <c r="G247" s="11">
        <v>93.45</v>
      </c>
      <c r="H247" s="3" t="s">
        <v>340</v>
      </c>
      <c r="I247" s="3" t="str">
        <f t="shared" si="3"/>
        <v>Jan</v>
      </c>
    </row>
    <row r="248" spans="1:9" x14ac:dyDescent="0.25">
      <c r="A248">
        <v>10568</v>
      </c>
      <c r="B248" t="s">
        <v>117</v>
      </c>
      <c r="C248" s="6">
        <v>42899</v>
      </c>
      <c r="D248" s="6">
        <v>42927</v>
      </c>
      <c r="E248" s="6">
        <v>42925</v>
      </c>
      <c r="F248" s="3" t="s">
        <v>646</v>
      </c>
      <c r="G248" s="11">
        <v>32.700000000000003</v>
      </c>
      <c r="H248" s="3" t="s">
        <v>340</v>
      </c>
      <c r="I248" s="3" t="str">
        <f t="shared" si="3"/>
        <v>Jun</v>
      </c>
    </row>
    <row r="249" spans="1:9" x14ac:dyDescent="0.25">
      <c r="A249">
        <v>10887</v>
      </c>
      <c r="B249" t="s">
        <v>117</v>
      </c>
      <c r="C249" s="6">
        <v>43144</v>
      </c>
      <c r="D249" s="6">
        <v>43172</v>
      </c>
      <c r="E249" s="6">
        <v>43147</v>
      </c>
      <c r="F249" s="3" t="s">
        <v>646</v>
      </c>
      <c r="G249" s="11">
        <v>6.25</v>
      </c>
      <c r="H249" s="3" t="s">
        <v>340</v>
      </c>
      <c r="I249" s="3" t="str">
        <f t="shared" si="3"/>
        <v>Feb</v>
      </c>
    </row>
    <row r="250" spans="1:9" x14ac:dyDescent="0.25">
      <c r="A250">
        <v>10928</v>
      </c>
      <c r="B250" t="s">
        <v>117</v>
      </c>
      <c r="C250" s="6">
        <v>43164</v>
      </c>
      <c r="D250" s="6">
        <v>43192</v>
      </c>
      <c r="E250" s="6">
        <v>43177</v>
      </c>
      <c r="F250" s="3" t="s">
        <v>644</v>
      </c>
      <c r="G250" s="11">
        <v>6.8000000000000007</v>
      </c>
      <c r="H250" s="3" t="s">
        <v>340</v>
      </c>
      <c r="I250" s="3" t="str">
        <f t="shared" si="3"/>
        <v>Mar</v>
      </c>
    </row>
    <row r="251" spans="1:9" x14ac:dyDescent="0.25">
      <c r="A251">
        <v>10303</v>
      </c>
      <c r="B251" t="s">
        <v>120</v>
      </c>
      <c r="C251" s="6">
        <v>42624</v>
      </c>
      <c r="D251" s="6">
        <v>42652</v>
      </c>
      <c r="E251" s="6">
        <v>42631</v>
      </c>
      <c r="F251" s="3" t="s">
        <v>645</v>
      </c>
      <c r="G251" s="11">
        <v>539.15</v>
      </c>
      <c r="H251" s="3" t="s">
        <v>341</v>
      </c>
      <c r="I251" s="3" t="str">
        <f t="shared" si="3"/>
        <v>Sep</v>
      </c>
    </row>
    <row r="252" spans="1:9" x14ac:dyDescent="0.25">
      <c r="A252">
        <v>10550</v>
      </c>
      <c r="B252" t="s">
        <v>120</v>
      </c>
      <c r="C252" s="6">
        <v>42883</v>
      </c>
      <c r="D252" s="6">
        <v>42911</v>
      </c>
      <c r="E252" s="6">
        <v>42892</v>
      </c>
      <c r="F252" s="3" t="s">
        <v>646</v>
      </c>
      <c r="G252" s="11">
        <v>21.6</v>
      </c>
      <c r="H252" s="3" t="s">
        <v>341</v>
      </c>
      <c r="I252" s="3" t="str">
        <f t="shared" si="3"/>
        <v>May</v>
      </c>
    </row>
    <row r="253" spans="1:9" x14ac:dyDescent="0.25">
      <c r="A253">
        <v>10629</v>
      </c>
      <c r="B253" t="s">
        <v>120</v>
      </c>
      <c r="C253" s="6">
        <v>42959</v>
      </c>
      <c r="D253" s="6">
        <v>42987</v>
      </c>
      <c r="E253" s="6">
        <v>42967</v>
      </c>
      <c r="F253" s="3" t="s">
        <v>646</v>
      </c>
      <c r="G253" s="11">
        <v>427.29999999999995</v>
      </c>
      <c r="H253" s="3" t="s">
        <v>341</v>
      </c>
      <c r="I253" s="3" t="str">
        <f t="shared" si="3"/>
        <v>Aug</v>
      </c>
    </row>
    <row r="254" spans="1:9" x14ac:dyDescent="0.25">
      <c r="A254">
        <v>10872</v>
      </c>
      <c r="B254" t="s">
        <v>120</v>
      </c>
      <c r="C254" s="6">
        <v>43136</v>
      </c>
      <c r="D254" s="6">
        <v>43164</v>
      </c>
      <c r="E254" s="6">
        <v>43140</v>
      </c>
      <c r="F254" s="3" t="s">
        <v>645</v>
      </c>
      <c r="G254" s="11">
        <v>876.59999999999991</v>
      </c>
      <c r="H254" s="3" t="s">
        <v>341</v>
      </c>
      <c r="I254" s="3" t="str">
        <f t="shared" si="3"/>
        <v>Feb</v>
      </c>
    </row>
    <row r="255" spans="1:9" x14ac:dyDescent="0.25">
      <c r="A255">
        <v>10874</v>
      </c>
      <c r="B255" t="s">
        <v>120</v>
      </c>
      <c r="C255" s="6">
        <v>43137</v>
      </c>
      <c r="D255" s="6">
        <v>43165</v>
      </c>
      <c r="E255" s="6">
        <v>43142</v>
      </c>
      <c r="F255" s="3" t="s">
        <v>645</v>
      </c>
      <c r="G255" s="11">
        <v>97.899999999999991</v>
      </c>
      <c r="H255" s="3" t="s">
        <v>341</v>
      </c>
      <c r="I255" s="3" t="str">
        <f t="shared" si="3"/>
        <v>Feb</v>
      </c>
    </row>
    <row r="256" spans="1:9" x14ac:dyDescent="0.25">
      <c r="A256">
        <v>10888</v>
      </c>
      <c r="B256" t="s">
        <v>120</v>
      </c>
      <c r="C256" s="6">
        <v>43147</v>
      </c>
      <c r="D256" s="6">
        <v>43175</v>
      </c>
      <c r="E256" s="6">
        <v>43154</v>
      </c>
      <c r="F256" s="3" t="s">
        <v>645</v>
      </c>
      <c r="G256" s="11">
        <v>259.34999999999997</v>
      </c>
      <c r="H256" s="3" t="s">
        <v>341</v>
      </c>
      <c r="I256" s="3" t="str">
        <f t="shared" si="3"/>
        <v>Feb</v>
      </c>
    </row>
    <row r="257" spans="1:9" x14ac:dyDescent="0.25">
      <c r="A257">
        <v>10911</v>
      </c>
      <c r="B257" t="s">
        <v>120</v>
      </c>
      <c r="C257" s="6">
        <v>43157</v>
      </c>
      <c r="D257" s="6">
        <v>43185</v>
      </c>
      <c r="E257" s="6">
        <v>43164</v>
      </c>
      <c r="F257" s="3" t="s">
        <v>644</v>
      </c>
      <c r="G257" s="11">
        <v>190.95</v>
      </c>
      <c r="H257" s="3" t="s">
        <v>341</v>
      </c>
      <c r="I257" s="3" t="str">
        <f t="shared" si="3"/>
        <v>Feb</v>
      </c>
    </row>
    <row r="258" spans="1:9" x14ac:dyDescent="0.25">
      <c r="A258">
        <v>10948</v>
      </c>
      <c r="B258" t="s">
        <v>120</v>
      </c>
      <c r="C258" s="6">
        <v>43172</v>
      </c>
      <c r="D258" s="6">
        <v>43200</v>
      </c>
      <c r="E258" s="6">
        <v>43178</v>
      </c>
      <c r="F258" s="3" t="s">
        <v>646</v>
      </c>
      <c r="G258" s="11">
        <v>116.95</v>
      </c>
      <c r="H258" s="3" t="s">
        <v>341</v>
      </c>
      <c r="I258" s="3" t="str">
        <f t="shared" si="3"/>
        <v>Mar</v>
      </c>
    </row>
    <row r="259" spans="1:9" x14ac:dyDescent="0.25">
      <c r="A259">
        <v>11009</v>
      </c>
      <c r="B259" t="s">
        <v>120</v>
      </c>
      <c r="C259" s="6">
        <v>43198</v>
      </c>
      <c r="D259" s="6">
        <v>43226</v>
      </c>
      <c r="E259" s="6">
        <v>43200</v>
      </c>
      <c r="F259" s="3" t="s">
        <v>644</v>
      </c>
      <c r="G259" s="11">
        <v>295.55</v>
      </c>
      <c r="H259" s="3" t="s">
        <v>341</v>
      </c>
      <c r="I259" s="3" t="str">
        <f t="shared" ref="I259:I322" si="4">TEXT(C259,"mmm")</f>
        <v>Apr</v>
      </c>
    </row>
    <row r="260" spans="1:9" x14ac:dyDescent="0.25">
      <c r="A260">
        <v>11037</v>
      </c>
      <c r="B260" t="s">
        <v>120</v>
      </c>
      <c r="C260" s="6">
        <v>43211</v>
      </c>
      <c r="D260" s="6">
        <v>43239</v>
      </c>
      <c r="E260" s="6">
        <v>43217</v>
      </c>
      <c r="F260" s="3" t="s">
        <v>644</v>
      </c>
      <c r="G260" s="11">
        <v>16</v>
      </c>
      <c r="H260" s="3" t="s">
        <v>341</v>
      </c>
      <c r="I260" s="3" t="str">
        <f t="shared" si="4"/>
        <v>Apr</v>
      </c>
    </row>
    <row r="261" spans="1:9" x14ac:dyDescent="0.25">
      <c r="A261">
        <v>10423</v>
      </c>
      <c r="B261" t="s">
        <v>122</v>
      </c>
      <c r="C261" s="6">
        <v>42758</v>
      </c>
      <c r="D261" s="6">
        <v>42772</v>
      </c>
      <c r="E261" s="6">
        <v>42790</v>
      </c>
      <c r="F261" s="3" t="s">
        <v>646</v>
      </c>
      <c r="G261" s="11">
        <v>122.5</v>
      </c>
      <c r="H261" s="7" t="s">
        <v>342</v>
      </c>
      <c r="I261" s="3" t="str">
        <f t="shared" si="4"/>
        <v>Jan</v>
      </c>
    </row>
    <row r="262" spans="1:9" x14ac:dyDescent="0.25">
      <c r="A262">
        <v>10652</v>
      </c>
      <c r="B262" t="s">
        <v>122</v>
      </c>
      <c r="C262" s="6">
        <v>42979</v>
      </c>
      <c r="D262" s="6">
        <v>43007</v>
      </c>
      <c r="E262" s="6">
        <v>42986</v>
      </c>
      <c r="F262" s="3" t="s">
        <v>645</v>
      </c>
      <c r="G262" s="11">
        <v>35.699999999999996</v>
      </c>
      <c r="H262" s="7" t="s">
        <v>342</v>
      </c>
      <c r="I262" s="3" t="str">
        <f t="shared" si="4"/>
        <v>Sep</v>
      </c>
    </row>
    <row r="263" spans="1:9" x14ac:dyDescent="0.25">
      <c r="A263">
        <v>10685</v>
      </c>
      <c r="B263" t="s">
        <v>122</v>
      </c>
      <c r="C263" s="6">
        <v>43007</v>
      </c>
      <c r="D263" s="6">
        <v>43021</v>
      </c>
      <c r="E263" s="6">
        <v>43011</v>
      </c>
      <c r="F263" s="3" t="s">
        <v>645</v>
      </c>
      <c r="G263" s="11">
        <v>168.75</v>
      </c>
      <c r="H263" s="7" t="s">
        <v>342</v>
      </c>
      <c r="I263" s="3" t="str">
        <f t="shared" si="4"/>
        <v>Sep</v>
      </c>
    </row>
    <row r="264" spans="1:9" x14ac:dyDescent="0.25">
      <c r="A264">
        <v>10709</v>
      </c>
      <c r="B264" t="s">
        <v>122</v>
      </c>
      <c r="C264" s="6">
        <v>43025</v>
      </c>
      <c r="D264" s="6">
        <v>43053</v>
      </c>
      <c r="E264" s="6">
        <v>43059</v>
      </c>
      <c r="F264" s="3" t="s">
        <v>646</v>
      </c>
      <c r="G264" s="11">
        <v>1054</v>
      </c>
      <c r="H264" s="7" t="s">
        <v>342</v>
      </c>
      <c r="I264" s="3" t="str">
        <f t="shared" si="4"/>
        <v>Oct</v>
      </c>
    </row>
    <row r="265" spans="1:9" x14ac:dyDescent="0.25">
      <c r="A265">
        <v>10734</v>
      </c>
      <c r="B265" t="s">
        <v>122</v>
      </c>
      <c r="C265" s="6">
        <v>43046</v>
      </c>
      <c r="D265" s="6">
        <v>43074</v>
      </c>
      <c r="E265" s="6">
        <v>43051</v>
      </c>
      <c r="F265" s="3" t="s">
        <v>646</v>
      </c>
      <c r="G265" s="11">
        <v>8.1499999999999986</v>
      </c>
      <c r="H265" s="7" t="s">
        <v>342</v>
      </c>
      <c r="I265" s="3" t="str">
        <f t="shared" si="4"/>
        <v>Nov</v>
      </c>
    </row>
    <row r="266" spans="1:9" x14ac:dyDescent="0.25">
      <c r="A266">
        <v>10777</v>
      </c>
      <c r="B266" t="s">
        <v>122</v>
      </c>
      <c r="C266" s="6">
        <v>43084</v>
      </c>
      <c r="D266" s="6">
        <v>43098</v>
      </c>
      <c r="E266" s="6">
        <v>43121</v>
      </c>
      <c r="F266" s="3" t="s">
        <v>645</v>
      </c>
      <c r="G266" s="11">
        <v>15.049999999999999</v>
      </c>
      <c r="H266" s="7" t="s">
        <v>342</v>
      </c>
      <c r="I266" s="3" t="str">
        <f t="shared" si="4"/>
        <v>Dec</v>
      </c>
    </row>
    <row r="267" spans="1:9" x14ac:dyDescent="0.25">
      <c r="A267">
        <v>10790</v>
      </c>
      <c r="B267" t="s">
        <v>122</v>
      </c>
      <c r="C267" s="6">
        <v>43091</v>
      </c>
      <c r="D267" s="6">
        <v>43119</v>
      </c>
      <c r="E267" s="6">
        <v>43095</v>
      </c>
      <c r="F267" s="3" t="s">
        <v>644</v>
      </c>
      <c r="G267" s="11">
        <v>141.15</v>
      </c>
      <c r="H267" s="7" t="s">
        <v>342</v>
      </c>
      <c r="I267" s="3" t="str">
        <f t="shared" si="4"/>
        <v>Dec</v>
      </c>
    </row>
    <row r="268" spans="1:9" x14ac:dyDescent="0.25">
      <c r="A268">
        <v>10959</v>
      </c>
      <c r="B268" t="s">
        <v>122</v>
      </c>
      <c r="C268" s="6">
        <v>43177</v>
      </c>
      <c r="D268" s="6">
        <v>43219</v>
      </c>
      <c r="E268" s="6">
        <v>43182</v>
      </c>
      <c r="F268" s="3" t="s">
        <v>645</v>
      </c>
      <c r="G268" s="11">
        <v>24.900000000000002</v>
      </c>
      <c r="H268" s="7" t="s">
        <v>342</v>
      </c>
      <c r="I268" s="3" t="str">
        <f t="shared" si="4"/>
        <v>Mar</v>
      </c>
    </row>
    <row r="269" spans="1:9" x14ac:dyDescent="0.25">
      <c r="A269">
        <v>11049</v>
      </c>
      <c r="B269" t="s">
        <v>122</v>
      </c>
      <c r="C269" s="6">
        <v>43214</v>
      </c>
      <c r="D269" s="6">
        <v>43242</v>
      </c>
      <c r="E269" s="6">
        <v>43224</v>
      </c>
      <c r="F269" s="3" t="s">
        <v>644</v>
      </c>
      <c r="G269" s="11">
        <v>41.7</v>
      </c>
      <c r="H269" s="7" t="s">
        <v>342</v>
      </c>
      <c r="I269" s="3" t="str">
        <f t="shared" si="4"/>
        <v>Apr</v>
      </c>
    </row>
    <row r="270" spans="1:9" x14ac:dyDescent="0.25">
      <c r="A270">
        <v>10528</v>
      </c>
      <c r="B270" t="s">
        <v>124</v>
      </c>
      <c r="C270" s="6">
        <v>42861</v>
      </c>
      <c r="D270" s="6">
        <v>42875</v>
      </c>
      <c r="E270" s="6">
        <v>42864</v>
      </c>
      <c r="F270" s="3" t="s">
        <v>645</v>
      </c>
      <c r="G270" s="11">
        <v>16.75</v>
      </c>
      <c r="H270" s="3" t="s">
        <v>343</v>
      </c>
      <c r="I270" s="3" t="str">
        <f t="shared" si="4"/>
        <v>May</v>
      </c>
    </row>
    <row r="271" spans="1:9" x14ac:dyDescent="0.25">
      <c r="A271">
        <v>10589</v>
      </c>
      <c r="B271" t="s">
        <v>124</v>
      </c>
      <c r="C271" s="6">
        <v>42920</v>
      </c>
      <c r="D271" s="6">
        <v>42948</v>
      </c>
      <c r="E271" s="6">
        <v>42930</v>
      </c>
      <c r="F271" s="3" t="s">
        <v>645</v>
      </c>
      <c r="G271" s="11">
        <v>22.1</v>
      </c>
      <c r="H271" s="3" t="s">
        <v>343</v>
      </c>
      <c r="I271" s="3" t="str">
        <f t="shared" si="4"/>
        <v>Jul</v>
      </c>
    </row>
    <row r="272" spans="1:9" x14ac:dyDescent="0.25">
      <c r="A272">
        <v>10616</v>
      </c>
      <c r="B272" t="s">
        <v>124</v>
      </c>
      <c r="C272" s="6">
        <v>42947</v>
      </c>
      <c r="D272" s="6">
        <v>42975</v>
      </c>
      <c r="E272" s="6">
        <v>42952</v>
      </c>
      <c r="F272" s="3" t="s">
        <v>645</v>
      </c>
      <c r="G272" s="11">
        <v>582.65</v>
      </c>
      <c r="H272" s="3" t="s">
        <v>343</v>
      </c>
      <c r="I272" s="3" t="str">
        <f t="shared" si="4"/>
        <v>Jul</v>
      </c>
    </row>
    <row r="273" spans="1:9" x14ac:dyDescent="0.25">
      <c r="A273">
        <v>10617</v>
      </c>
      <c r="B273" t="s">
        <v>124</v>
      </c>
      <c r="C273" s="6">
        <v>42947</v>
      </c>
      <c r="D273" s="6">
        <v>42975</v>
      </c>
      <c r="E273" s="6">
        <v>42951</v>
      </c>
      <c r="F273" s="3" t="s">
        <v>645</v>
      </c>
      <c r="G273" s="11">
        <v>92.65</v>
      </c>
      <c r="H273" s="3" t="s">
        <v>343</v>
      </c>
      <c r="I273" s="3" t="str">
        <f t="shared" si="4"/>
        <v>Jul</v>
      </c>
    </row>
    <row r="274" spans="1:9" x14ac:dyDescent="0.25">
      <c r="A274">
        <v>10656</v>
      </c>
      <c r="B274" t="s">
        <v>124</v>
      </c>
      <c r="C274" s="6">
        <v>42982</v>
      </c>
      <c r="D274" s="6">
        <v>43010</v>
      </c>
      <c r="E274" s="6">
        <v>42988</v>
      </c>
      <c r="F274" s="3" t="s">
        <v>644</v>
      </c>
      <c r="G274" s="11">
        <v>285.75</v>
      </c>
      <c r="H274" s="3" t="s">
        <v>343</v>
      </c>
      <c r="I274" s="3" t="str">
        <f t="shared" si="4"/>
        <v>Sep</v>
      </c>
    </row>
    <row r="275" spans="1:9" x14ac:dyDescent="0.25">
      <c r="A275">
        <v>10681</v>
      </c>
      <c r="B275" t="s">
        <v>124</v>
      </c>
      <c r="C275" s="6">
        <v>43003</v>
      </c>
      <c r="D275" s="6">
        <v>43031</v>
      </c>
      <c r="E275" s="6">
        <v>43008</v>
      </c>
      <c r="F275" s="3" t="s">
        <v>646</v>
      </c>
      <c r="G275" s="11">
        <v>380.65</v>
      </c>
      <c r="H275" s="3" t="s">
        <v>343</v>
      </c>
      <c r="I275" s="3" t="str">
        <f t="shared" si="4"/>
        <v>Sep</v>
      </c>
    </row>
    <row r="276" spans="1:9" x14ac:dyDescent="0.25">
      <c r="A276">
        <v>10816</v>
      </c>
      <c r="B276" t="s">
        <v>124</v>
      </c>
      <c r="C276" s="6">
        <v>43106</v>
      </c>
      <c r="D276" s="6">
        <v>43134</v>
      </c>
      <c r="E276" s="6">
        <v>43135</v>
      </c>
      <c r="F276" s="3" t="s">
        <v>645</v>
      </c>
      <c r="G276" s="11">
        <v>3598.8999999999996</v>
      </c>
      <c r="H276" s="3" t="s">
        <v>343</v>
      </c>
      <c r="I276" s="3" t="str">
        <f t="shared" si="4"/>
        <v>Jan</v>
      </c>
    </row>
    <row r="277" spans="1:9" x14ac:dyDescent="0.25">
      <c r="A277">
        <v>10936</v>
      </c>
      <c r="B277" t="s">
        <v>124</v>
      </c>
      <c r="C277" s="6">
        <v>43168</v>
      </c>
      <c r="D277" s="6">
        <v>43196</v>
      </c>
      <c r="E277" s="6">
        <v>43177</v>
      </c>
      <c r="F277" s="3" t="s">
        <v>645</v>
      </c>
      <c r="G277" s="11">
        <v>168.4</v>
      </c>
      <c r="H277" s="3" t="s">
        <v>343</v>
      </c>
      <c r="I277" s="3" t="str">
        <f t="shared" si="4"/>
        <v>Mar</v>
      </c>
    </row>
    <row r="278" spans="1:9" x14ac:dyDescent="0.25">
      <c r="A278">
        <v>11006</v>
      </c>
      <c r="B278" t="s">
        <v>124</v>
      </c>
      <c r="C278" s="6">
        <v>43197</v>
      </c>
      <c r="D278" s="6">
        <v>43225</v>
      </c>
      <c r="E278" s="6">
        <v>43205</v>
      </c>
      <c r="F278" s="3" t="s">
        <v>645</v>
      </c>
      <c r="G278" s="11">
        <v>125.95</v>
      </c>
      <c r="H278" s="3" t="s">
        <v>343</v>
      </c>
      <c r="I278" s="3" t="str">
        <f t="shared" si="4"/>
        <v>Apr</v>
      </c>
    </row>
    <row r="279" spans="1:9" x14ac:dyDescent="0.25">
      <c r="A279">
        <v>11040</v>
      </c>
      <c r="B279" t="s">
        <v>124</v>
      </c>
      <c r="C279" s="6">
        <v>43212</v>
      </c>
      <c r="D279" s="6">
        <v>43240</v>
      </c>
      <c r="E279" s="6"/>
      <c r="F279" s="3" t="s">
        <v>646</v>
      </c>
      <c r="G279" s="11">
        <v>94.2</v>
      </c>
      <c r="H279" s="3" t="s">
        <v>343</v>
      </c>
      <c r="I279" s="3" t="str">
        <f t="shared" si="4"/>
        <v>Apr</v>
      </c>
    </row>
    <row r="280" spans="1:9" x14ac:dyDescent="0.25">
      <c r="A280">
        <v>11061</v>
      </c>
      <c r="B280" t="s">
        <v>124</v>
      </c>
      <c r="C280" s="6">
        <v>43220</v>
      </c>
      <c r="D280" s="6">
        <v>43262</v>
      </c>
      <c r="E280" s="6"/>
      <c r="F280" s="3" t="s">
        <v>646</v>
      </c>
      <c r="G280" s="11">
        <v>70.05</v>
      </c>
      <c r="H280" s="3" t="s">
        <v>343</v>
      </c>
      <c r="I280" s="3" t="str">
        <f t="shared" si="4"/>
        <v>Apr</v>
      </c>
    </row>
    <row r="281" spans="1:9" x14ac:dyDescent="0.25">
      <c r="A281">
        <v>10268</v>
      </c>
      <c r="B281" t="s">
        <v>127</v>
      </c>
      <c r="C281" s="6">
        <v>42581</v>
      </c>
      <c r="D281" s="6">
        <v>42609</v>
      </c>
      <c r="E281" s="6">
        <v>42584</v>
      </c>
      <c r="F281" s="3" t="s">
        <v>646</v>
      </c>
      <c r="G281" s="11">
        <v>331.45000000000005</v>
      </c>
      <c r="H281" s="3" t="s">
        <v>344</v>
      </c>
      <c r="I281" s="3" t="str">
        <f t="shared" si="4"/>
        <v>Jul</v>
      </c>
    </row>
    <row r="282" spans="1:9" x14ac:dyDescent="0.25">
      <c r="A282">
        <v>10785</v>
      </c>
      <c r="B282" t="s">
        <v>127</v>
      </c>
      <c r="C282" s="6">
        <v>43087</v>
      </c>
      <c r="D282" s="6">
        <v>43115</v>
      </c>
      <c r="E282" s="6">
        <v>43093</v>
      </c>
      <c r="F282" s="3" t="s">
        <v>646</v>
      </c>
      <c r="G282" s="11">
        <v>7.55</v>
      </c>
      <c r="H282" s="3" t="s">
        <v>344</v>
      </c>
      <c r="I282" s="3" t="str">
        <f t="shared" si="4"/>
        <v>Dec</v>
      </c>
    </row>
    <row r="283" spans="1:9" x14ac:dyDescent="0.25">
      <c r="A283">
        <v>10250</v>
      </c>
      <c r="B283" t="s">
        <v>130</v>
      </c>
      <c r="C283" s="6">
        <v>42559</v>
      </c>
      <c r="D283" s="6">
        <v>42587</v>
      </c>
      <c r="E283" s="6">
        <v>42563</v>
      </c>
      <c r="F283" s="3" t="s">
        <v>645</v>
      </c>
      <c r="G283" s="11">
        <v>329.15</v>
      </c>
      <c r="H283" s="3" t="s">
        <v>345</v>
      </c>
      <c r="I283" s="3" t="str">
        <f t="shared" si="4"/>
        <v>Jul</v>
      </c>
    </row>
    <row r="284" spans="1:9" x14ac:dyDescent="0.25">
      <c r="A284">
        <v>10253</v>
      </c>
      <c r="B284" t="s">
        <v>130</v>
      </c>
      <c r="C284" s="6">
        <v>42561</v>
      </c>
      <c r="D284" s="6">
        <v>42575</v>
      </c>
      <c r="E284" s="6">
        <v>42567</v>
      </c>
      <c r="F284" s="3" t="s">
        <v>645</v>
      </c>
      <c r="G284" s="11">
        <v>290.85000000000002</v>
      </c>
      <c r="H284" s="3" t="s">
        <v>345</v>
      </c>
      <c r="I284" s="3" t="str">
        <f t="shared" si="4"/>
        <v>Jul</v>
      </c>
    </row>
    <row r="285" spans="1:9" x14ac:dyDescent="0.25">
      <c r="A285">
        <v>10541</v>
      </c>
      <c r="B285" t="s">
        <v>130</v>
      </c>
      <c r="C285" s="6">
        <v>42874</v>
      </c>
      <c r="D285" s="6">
        <v>42902</v>
      </c>
      <c r="E285" s="6">
        <v>42884</v>
      </c>
      <c r="F285" s="3" t="s">
        <v>644</v>
      </c>
      <c r="G285" s="11">
        <v>343.25</v>
      </c>
      <c r="H285" s="3" t="s">
        <v>345</v>
      </c>
      <c r="I285" s="3" t="str">
        <f t="shared" si="4"/>
        <v>May</v>
      </c>
    </row>
    <row r="286" spans="1:9" x14ac:dyDescent="0.25">
      <c r="A286">
        <v>10645</v>
      </c>
      <c r="B286" t="s">
        <v>130</v>
      </c>
      <c r="C286" s="6">
        <v>42973</v>
      </c>
      <c r="D286" s="6">
        <v>43001</v>
      </c>
      <c r="E286" s="6">
        <v>42980</v>
      </c>
      <c r="F286" s="3" t="s">
        <v>644</v>
      </c>
      <c r="G286" s="11">
        <v>62.05</v>
      </c>
      <c r="H286" s="3" t="s">
        <v>345</v>
      </c>
      <c r="I286" s="3" t="str">
        <f t="shared" si="4"/>
        <v>Aug</v>
      </c>
    </row>
    <row r="287" spans="1:9" x14ac:dyDescent="0.25">
      <c r="A287">
        <v>10690</v>
      </c>
      <c r="B287" t="s">
        <v>130</v>
      </c>
      <c r="C287" s="6">
        <v>43010</v>
      </c>
      <c r="D287" s="6">
        <v>43038</v>
      </c>
      <c r="E287" s="6">
        <v>43011</v>
      </c>
      <c r="F287" s="3" t="s">
        <v>644</v>
      </c>
      <c r="G287" s="11">
        <v>79</v>
      </c>
      <c r="H287" s="3" t="s">
        <v>345</v>
      </c>
      <c r="I287" s="3" t="str">
        <f t="shared" si="4"/>
        <v>Oct</v>
      </c>
    </row>
    <row r="288" spans="1:9" x14ac:dyDescent="0.25">
      <c r="A288">
        <v>10770</v>
      </c>
      <c r="B288" t="s">
        <v>130</v>
      </c>
      <c r="C288" s="6">
        <v>43078</v>
      </c>
      <c r="D288" s="6">
        <v>43106</v>
      </c>
      <c r="E288" s="6">
        <v>43086</v>
      </c>
      <c r="F288" s="3" t="s">
        <v>646</v>
      </c>
      <c r="G288" s="11">
        <v>26.6</v>
      </c>
      <c r="H288" s="3" t="s">
        <v>345</v>
      </c>
      <c r="I288" s="3" t="str">
        <f t="shared" si="4"/>
        <v>Dec</v>
      </c>
    </row>
    <row r="289" spans="1:9" x14ac:dyDescent="0.25">
      <c r="A289">
        <v>10783</v>
      </c>
      <c r="B289" t="s">
        <v>130</v>
      </c>
      <c r="C289" s="6">
        <v>43087</v>
      </c>
      <c r="D289" s="6">
        <v>43115</v>
      </c>
      <c r="E289" s="6">
        <v>43088</v>
      </c>
      <c r="F289" s="3" t="s">
        <v>645</v>
      </c>
      <c r="G289" s="11">
        <v>624.9</v>
      </c>
      <c r="H289" s="3" t="s">
        <v>345</v>
      </c>
      <c r="I289" s="3" t="str">
        <f t="shared" si="4"/>
        <v>Dec</v>
      </c>
    </row>
    <row r="290" spans="1:9" x14ac:dyDescent="0.25">
      <c r="A290">
        <v>10886</v>
      </c>
      <c r="B290" t="s">
        <v>130</v>
      </c>
      <c r="C290" s="6">
        <v>43144</v>
      </c>
      <c r="D290" s="6">
        <v>43172</v>
      </c>
      <c r="E290" s="6">
        <v>43161</v>
      </c>
      <c r="F290" s="3" t="s">
        <v>644</v>
      </c>
      <c r="G290" s="11">
        <v>24.950000000000003</v>
      </c>
      <c r="H290" s="3" t="s">
        <v>345</v>
      </c>
      <c r="I290" s="3" t="str">
        <f t="shared" si="4"/>
        <v>Feb</v>
      </c>
    </row>
    <row r="291" spans="1:9" x14ac:dyDescent="0.25">
      <c r="A291">
        <v>10903</v>
      </c>
      <c r="B291" t="s">
        <v>130</v>
      </c>
      <c r="C291" s="6">
        <v>43155</v>
      </c>
      <c r="D291" s="6">
        <v>43183</v>
      </c>
      <c r="E291" s="6">
        <v>43163</v>
      </c>
      <c r="F291" s="3" t="s">
        <v>646</v>
      </c>
      <c r="G291" s="11">
        <v>183.55</v>
      </c>
      <c r="H291" s="3" t="s">
        <v>345</v>
      </c>
      <c r="I291" s="3" t="str">
        <f t="shared" si="4"/>
        <v>Feb</v>
      </c>
    </row>
    <row r="292" spans="1:9" x14ac:dyDescent="0.25">
      <c r="A292">
        <v>10922</v>
      </c>
      <c r="B292" t="s">
        <v>130</v>
      </c>
      <c r="C292" s="6">
        <v>43162</v>
      </c>
      <c r="D292" s="6">
        <v>43190</v>
      </c>
      <c r="E292" s="6">
        <v>43164</v>
      </c>
      <c r="F292" s="3" t="s">
        <v>646</v>
      </c>
      <c r="G292" s="11">
        <v>313.7</v>
      </c>
      <c r="H292" s="3" t="s">
        <v>345</v>
      </c>
      <c r="I292" s="3" t="str">
        <f t="shared" si="4"/>
        <v>Mar</v>
      </c>
    </row>
    <row r="293" spans="1:9" x14ac:dyDescent="0.25">
      <c r="A293">
        <v>10925</v>
      </c>
      <c r="B293" t="s">
        <v>130</v>
      </c>
      <c r="C293" s="6">
        <v>43163</v>
      </c>
      <c r="D293" s="6">
        <v>43191</v>
      </c>
      <c r="E293" s="6">
        <v>43172</v>
      </c>
      <c r="F293" s="3" t="s">
        <v>644</v>
      </c>
      <c r="G293" s="11">
        <v>11.35</v>
      </c>
      <c r="H293" s="3" t="s">
        <v>345</v>
      </c>
      <c r="I293" s="3" t="str">
        <f t="shared" si="4"/>
        <v>Mar</v>
      </c>
    </row>
    <row r="294" spans="1:9" x14ac:dyDescent="0.25">
      <c r="A294">
        <v>10981</v>
      </c>
      <c r="B294" t="s">
        <v>130</v>
      </c>
      <c r="C294" s="6">
        <v>43186</v>
      </c>
      <c r="D294" s="6">
        <v>43214</v>
      </c>
      <c r="E294" s="6">
        <v>43192</v>
      </c>
      <c r="F294" s="3" t="s">
        <v>645</v>
      </c>
      <c r="G294" s="11">
        <v>966.85</v>
      </c>
      <c r="H294" s="3" t="s">
        <v>345</v>
      </c>
      <c r="I294" s="3" t="str">
        <f t="shared" si="4"/>
        <v>Mar</v>
      </c>
    </row>
    <row r="295" spans="1:9" x14ac:dyDescent="0.25">
      <c r="A295">
        <v>11022</v>
      </c>
      <c r="B295" t="s">
        <v>130</v>
      </c>
      <c r="C295" s="6">
        <v>43204</v>
      </c>
      <c r="D295" s="6">
        <v>43232</v>
      </c>
      <c r="E295" s="6">
        <v>43224</v>
      </c>
      <c r="F295" s="3" t="s">
        <v>645</v>
      </c>
      <c r="G295" s="11">
        <v>31.349999999999998</v>
      </c>
      <c r="H295" s="3" t="s">
        <v>345</v>
      </c>
      <c r="I295" s="3" t="str">
        <f t="shared" si="4"/>
        <v>Apr</v>
      </c>
    </row>
    <row r="296" spans="1:9" x14ac:dyDescent="0.25">
      <c r="A296">
        <v>11052</v>
      </c>
      <c r="B296" t="s">
        <v>130</v>
      </c>
      <c r="C296" s="6">
        <v>43217</v>
      </c>
      <c r="D296" s="6">
        <v>43245</v>
      </c>
      <c r="E296" s="6">
        <v>43221</v>
      </c>
      <c r="F296" s="3" t="s">
        <v>644</v>
      </c>
      <c r="G296" s="11">
        <v>336.3</v>
      </c>
      <c r="H296" s="3" t="s">
        <v>345</v>
      </c>
      <c r="I296" s="3" t="str">
        <f t="shared" si="4"/>
        <v>Apr</v>
      </c>
    </row>
    <row r="297" spans="1:9" x14ac:dyDescent="0.25">
      <c r="A297">
        <v>10257</v>
      </c>
      <c r="B297" t="s">
        <v>134</v>
      </c>
      <c r="C297" s="6">
        <v>42567</v>
      </c>
      <c r="D297" s="6">
        <v>42595</v>
      </c>
      <c r="E297" s="6">
        <v>42573</v>
      </c>
      <c r="F297" s="3" t="s">
        <v>646</v>
      </c>
      <c r="G297" s="11">
        <v>409.54999999999995</v>
      </c>
      <c r="H297" s="3" t="s">
        <v>346</v>
      </c>
      <c r="I297" s="3" t="str">
        <f t="shared" si="4"/>
        <v>Jul</v>
      </c>
    </row>
    <row r="298" spans="1:9" x14ac:dyDescent="0.25">
      <c r="A298">
        <v>10395</v>
      </c>
      <c r="B298" t="s">
        <v>134</v>
      </c>
      <c r="C298" s="6">
        <v>42730</v>
      </c>
      <c r="D298" s="6">
        <v>42758</v>
      </c>
      <c r="E298" s="6">
        <v>42738</v>
      </c>
      <c r="F298" s="3" t="s">
        <v>644</v>
      </c>
      <c r="G298" s="11">
        <v>922.05</v>
      </c>
      <c r="H298" s="3" t="s">
        <v>346</v>
      </c>
      <c r="I298" s="3" t="str">
        <f t="shared" si="4"/>
        <v>Dec</v>
      </c>
    </row>
    <row r="299" spans="1:9" x14ac:dyDescent="0.25">
      <c r="A299">
        <v>10476</v>
      </c>
      <c r="B299" t="s">
        <v>134</v>
      </c>
      <c r="C299" s="6">
        <v>42811</v>
      </c>
      <c r="D299" s="6">
        <v>42839</v>
      </c>
      <c r="E299" s="6">
        <v>42818</v>
      </c>
      <c r="F299" s="3" t="s">
        <v>646</v>
      </c>
      <c r="G299" s="11">
        <v>22.05</v>
      </c>
      <c r="H299" s="3" t="s">
        <v>346</v>
      </c>
      <c r="I299" s="3" t="str">
        <f t="shared" si="4"/>
        <v>Mar</v>
      </c>
    </row>
    <row r="300" spans="1:9" x14ac:dyDescent="0.25">
      <c r="A300">
        <v>10486</v>
      </c>
      <c r="B300" t="s">
        <v>134</v>
      </c>
      <c r="C300" s="6">
        <v>42820</v>
      </c>
      <c r="D300" s="6">
        <v>42848</v>
      </c>
      <c r="E300" s="6">
        <v>42827</v>
      </c>
      <c r="F300" s="3" t="s">
        <v>645</v>
      </c>
      <c r="G300" s="11">
        <v>152.65</v>
      </c>
      <c r="H300" s="3" t="s">
        <v>346</v>
      </c>
      <c r="I300" s="3" t="str">
        <f t="shared" si="4"/>
        <v>Mar</v>
      </c>
    </row>
    <row r="301" spans="1:9" x14ac:dyDescent="0.25">
      <c r="A301">
        <v>10490</v>
      </c>
      <c r="B301" t="s">
        <v>134</v>
      </c>
      <c r="C301" s="6">
        <v>42825</v>
      </c>
      <c r="D301" s="6">
        <v>42853</v>
      </c>
      <c r="E301" s="6">
        <v>42828</v>
      </c>
      <c r="F301" s="3" t="s">
        <v>645</v>
      </c>
      <c r="G301" s="11">
        <v>1050.95</v>
      </c>
      <c r="H301" s="3" t="s">
        <v>346</v>
      </c>
      <c r="I301" s="3" t="str">
        <f t="shared" si="4"/>
        <v>Mar</v>
      </c>
    </row>
    <row r="302" spans="1:9" x14ac:dyDescent="0.25">
      <c r="A302">
        <v>10498</v>
      </c>
      <c r="B302" t="s">
        <v>134</v>
      </c>
      <c r="C302" s="6">
        <v>42832</v>
      </c>
      <c r="D302" s="6">
        <v>42860</v>
      </c>
      <c r="E302" s="6">
        <v>42836</v>
      </c>
      <c r="F302" s="3" t="s">
        <v>645</v>
      </c>
      <c r="G302" s="11">
        <v>148.75</v>
      </c>
      <c r="H302" s="3" t="s">
        <v>346</v>
      </c>
      <c r="I302" s="3" t="str">
        <f t="shared" si="4"/>
        <v>Apr</v>
      </c>
    </row>
    <row r="303" spans="1:9" x14ac:dyDescent="0.25">
      <c r="A303">
        <v>10552</v>
      </c>
      <c r="B303" t="s">
        <v>134</v>
      </c>
      <c r="C303" s="6">
        <v>42884</v>
      </c>
      <c r="D303" s="6">
        <v>42912</v>
      </c>
      <c r="E303" s="6">
        <v>42891</v>
      </c>
      <c r="F303" s="3" t="s">
        <v>644</v>
      </c>
      <c r="G303" s="11">
        <v>416.1</v>
      </c>
      <c r="H303" s="3" t="s">
        <v>346</v>
      </c>
      <c r="I303" s="3" t="str">
        <f t="shared" si="4"/>
        <v>May</v>
      </c>
    </row>
    <row r="304" spans="1:9" x14ac:dyDescent="0.25">
      <c r="A304">
        <v>10601</v>
      </c>
      <c r="B304" t="s">
        <v>134</v>
      </c>
      <c r="C304" s="6">
        <v>42932</v>
      </c>
      <c r="D304" s="6">
        <v>42974</v>
      </c>
      <c r="E304" s="6">
        <v>42938</v>
      </c>
      <c r="F304" s="3" t="s">
        <v>644</v>
      </c>
      <c r="G304" s="11">
        <v>291.5</v>
      </c>
      <c r="H304" s="3" t="s">
        <v>346</v>
      </c>
      <c r="I304" s="3" t="str">
        <f t="shared" si="4"/>
        <v>Jul</v>
      </c>
    </row>
    <row r="305" spans="1:9" x14ac:dyDescent="0.25">
      <c r="A305">
        <v>10613</v>
      </c>
      <c r="B305" t="s">
        <v>134</v>
      </c>
      <c r="C305" s="6">
        <v>42945</v>
      </c>
      <c r="D305" s="6">
        <v>42973</v>
      </c>
      <c r="E305" s="6">
        <v>42948</v>
      </c>
      <c r="F305" s="3" t="s">
        <v>645</v>
      </c>
      <c r="G305" s="11">
        <v>40.549999999999997</v>
      </c>
      <c r="H305" s="3" t="s">
        <v>346</v>
      </c>
      <c r="I305" s="3" t="str">
        <f t="shared" si="4"/>
        <v>Jul</v>
      </c>
    </row>
    <row r="306" spans="1:9" x14ac:dyDescent="0.25">
      <c r="A306">
        <v>10641</v>
      </c>
      <c r="B306" t="s">
        <v>134</v>
      </c>
      <c r="C306" s="6">
        <v>42969</v>
      </c>
      <c r="D306" s="6">
        <v>42997</v>
      </c>
      <c r="E306" s="6">
        <v>42973</v>
      </c>
      <c r="F306" s="3" t="s">
        <v>645</v>
      </c>
      <c r="G306" s="11">
        <v>898.05000000000007</v>
      </c>
      <c r="H306" s="3" t="s">
        <v>346</v>
      </c>
      <c r="I306" s="3" t="str">
        <f t="shared" si="4"/>
        <v>Aug</v>
      </c>
    </row>
    <row r="307" spans="1:9" x14ac:dyDescent="0.25">
      <c r="A307">
        <v>10705</v>
      </c>
      <c r="B307" t="s">
        <v>134</v>
      </c>
      <c r="C307" s="6">
        <v>43023</v>
      </c>
      <c r="D307" s="6">
        <v>43051</v>
      </c>
      <c r="E307" s="6">
        <v>43057</v>
      </c>
      <c r="F307" s="3" t="s">
        <v>645</v>
      </c>
      <c r="G307" s="11">
        <v>17.600000000000001</v>
      </c>
      <c r="H307" s="3" t="s">
        <v>346</v>
      </c>
      <c r="I307" s="3" t="str">
        <f t="shared" si="4"/>
        <v>Oct</v>
      </c>
    </row>
    <row r="308" spans="1:9" x14ac:dyDescent="0.25">
      <c r="A308">
        <v>10796</v>
      </c>
      <c r="B308" t="s">
        <v>134</v>
      </c>
      <c r="C308" s="6">
        <v>43094</v>
      </c>
      <c r="D308" s="6">
        <v>43122</v>
      </c>
      <c r="E308" s="6">
        <v>43114</v>
      </c>
      <c r="F308" s="3" t="s">
        <v>644</v>
      </c>
      <c r="G308" s="11">
        <v>132.6</v>
      </c>
      <c r="H308" s="3" t="s">
        <v>346</v>
      </c>
      <c r="I308" s="3" t="str">
        <f t="shared" si="4"/>
        <v>Dec</v>
      </c>
    </row>
    <row r="309" spans="1:9" x14ac:dyDescent="0.25">
      <c r="A309">
        <v>10863</v>
      </c>
      <c r="B309" t="s">
        <v>134</v>
      </c>
      <c r="C309" s="6">
        <v>43133</v>
      </c>
      <c r="D309" s="6">
        <v>43161</v>
      </c>
      <c r="E309" s="6">
        <v>43148</v>
      </c>
      <c r="F309" s="3" t="s">
        <v>645</v>
      </c>
      <c r="G309" s="11">
        <v>151.30000000000001</v>
      </c>
      <c r="H309" s="3" t="s">
        <v>346</v>
      </c>
      <c r="I309" s="3" t="str">
        <f t="shared" si="4"/>
        <v>Feb</v>
      </c>
    </row>
    <row r="310" spans="1:9" x14ac:dyDescent="0.25">
      <c r="A310">
        <v>10901</v>
      </c>
      <c r="B310" t="s">
        <v>134</v>
      </c>
      <c r="C310" s="6">
        <v>43154</v>
      </c>
      <c r="D310" s="6">
        <v>43182</v>
      </c>
      <c r="E310" s="6">
        <v>43157</v>
      </c>
      <c r="F310" s="3" t="s">
        <v>644</v>
      </c>
      <c r="G310" s="11">
        <v>310.45000000000005</v>
      </c>
      <c r="H310" s="3" t="s">
        <v>346</v>
      </c>
      <c r="I310" s="3" t="str">
        <f t="shared" si="4"/>
        <v>Feb</v>
      </c>
    </row>
    <row r="311" spans="1:9" x14ac:dyDescent="0.25">
      <c r="A311">
        <v>10957</v>
      </c>
      <c r="B311" t="s">
        <v>134</v>
      </c>
      <c r="C311" s="6">
        <v>43177</v>
      </c>
      <c r="D311" s="6">
        <v>43205</v>
      </c>
      <c r="E311" s="6">
        <v>43186</v>
      </c>
      <c r="F311" s="3" t="s">
        <v>646</v>
      </c>
      <c r="G311" s="11">
        <v>526.79999999999995</v>
      </c>
      <c r="H311" s="3" t="s">
        <v>346</v>
      </c>
      <c r="I311" s="3" t="str">
        <f t="shared" si="4"/>
        <v>Mar</v>
      </c>
    </row>
    <row r="312" spans="1:9" x14ac:dyDescent="0.25">
      <c r="A312">
        <v>10960</v>
      </c>
      <c r="B312" t="s">
        <v>134</v>
      </c>
      <c r="C312" s="6">
        <v>43178</v>
      </c>
      <c r="D312" s="6">
        <v>43192</v>
      </c>
      <c r="E312" s="6">
        <v>43198</v>
      </c>
      <c r="F312" s="3" t="s">
        <v>644</v>
      </c>
      <c r="G312" s="11">
        <v>10.4</v>
      </c>
      <c r="H312" s="3" t="s">
        <v>346</v>
      </c>
      <c r="I312" s="3" t="str">
        <f t="shared" si="4"/>
        <v>Mar</v>
      </c>
    </row>
    <row r="313" spans="1:9" x14ac:dyDescent="0.25">
      <c r="A313">
        <v>10976</v>
      </c>
      <c r="B313" t="s">
        <v>134</v>
      </c>
      <c r="C313" s="6">
        <v>43184</v>
      </c>
      <c r="D313" s="6">
        <v>43226</v>
      </c>
      <c r="E313" s="6">
        <v>43193</v>
      </c>
      <c r="F313" s="3" t="s">
        <v>644</v>
      </c>
      <c r="G313" s="11">
        <v>189.85</v>
      </c>
      <c r="H313" s="3" t="s">
        <v>346</v>
      </c>
      <c r="I313" s="3" t="str">
        <f t="shared" si="4"/>
        <v>Mar</v>
      </c>
    </row>
    <row r="314" spans="1:9" x14ac:dyDescent="0.25">
      <c r="A314">
        <v>11055</v>
      </c>
      <c r="B314" t="s">
        <v>134</v>
      </c>
      <c r="C314" s="6">
        <v>43218</v>
      </c>
      <c r="D314" s="6">
        <v>43246</v>
      </c>
      <c r="E314" s="6">
        <v>43225</v>
      </c>
      <c r="F314" s="3" t="s">
        <v>645</v>
      </c>
      <c r="G314" s="11">
        <v>604.6</v>
      </c>
      <c r="H314" s="3" t="s">
        <v>346</v>
      </c>
      <c r="I314" s="3" t="str">
        <f t="shared" si="4"/>
        <v>Apr</v>
      </c>
    </row>
    <row r="315" spans="1:9" x14ac:dyDescent="0.25">
      <c r="A315">
        <v>10375</v>
      </c>
      <c r="B315" t="s">
        <v>137</v>
      </c>
      <c r="C315" s="6">
        <v>42710</v>
      </c>
      <c r="D315" s="6">
        <v>42738</v>
      </c>
      <c r="E315" s="6">
        <v>42713</v>
      </c>
      <c r="F315" s="3" t="s">
        <v>645</v>
      </c>
      <c r="G315" s="11">
        <v>100.60000000000001</v>
      </c>
      <c r="H315" s="3" t="s">
        <v>347</v>
      </c>
      <c r="I315" s="3" t="str">
        <f t="shared" si="4"/>
        <v>Dec</v>
      </c>
    </row>
    <row r="316" spans="1:9" x14ac:dyDescent="0.25">
      <c r="A316">
        <v>10394</v>
      </c>
      <c r="B316" t="s">
        <v>137</v>
      </c>
      <c r="C316" s="6">
        <v>42729</v>
      </c>
      <c r="D316" s="6">
        <v>42757</v>
      </c>
      <c r="E316" s="6">
        <v>42738</v>
      </c>
      <c r="F316" s="3" t="s">
        <v>646</v>
      </c>
      <c r="G316" s="11">
        <v>151.69999999999999</v>
      </c>
      <c r="H316" s="3" t="s">
        <v>347</v>
      </c>
      <c r="I316" s="3" t="str">
        <f t="shared" si="4"/>
        <v>Dec</v>
      </c>
    </row>
    <row r="317" spans="1:9" x14ac:dyDescent="0.25">
      <c r="A317">
        <v>10415</v>
      </c>
      <c r="B317" t="s">
        <v>137</v>
      </c>
      <c r="C317" s="6">
        <v>42750</v>
      </c>
      <c r="D317" s="6">
        <v>42778</v>
      </c>
      <c r="E317" s="6">
        <v>42759</v>
      </c>
      <c r="F317" s="3" t="s">
        <v>644</v>
      </c>
      <c r="G317" s="11">
        <v>1</v>
      </c>
      <c r="H317" s="3" t="s">
        <v>347</v>
      </c>
      <c r="I317" s="3" t="str">
        <f t="shared" si="4"/>
        <v>Jan</v>
      </c>
    </row>
    <row r="318" spans="1:9" x14ac:dyDescent="0.25">
      <c r="A318">
        <v>10600</v>
      </c>
      <c r="B318" t="s">
        <v>137</v>
      </c>
      <c r="C318" s="6">
        <v>42932</v>
      </c>
      <c r="D318" s="6">
        <v>42960</v>
      </c>
      <c r="E318" s="6">
        <v>42937</v>
      </c>
      <c r="F318" s="3" t="s">
        <v>644</v>
      </c>
      <c r="G318" s="11">
        <v>225.65</v>
      </c>
      <c r="H318" s="3" t="s">
        <v>347</v>
      </c>
      <c r="I318" s="3" t="str">
        <f t="shared" si="4"/>
        <v>Jul</v>
      </c>
    </row>
    <row r="319" spans="1:9" x14ac:dyDescent="0.25">
      <c r="A319">
        <v>10660</v>
      </c>
      <c r="B319" t="s">
        <v>137</v>
      </c>
      <c r="C319" s="6">
        <v>42986</v>
      </c>
      <c r="D319" s="6">
        <v>43014</v>
      </c>
      <c r="E319" s="6">
        <v>43023</v>
      </c>
      <c r="F319" s="3" t="s">
        <v>644</v>
      </c>
      <c r="G319" s="11">
        <v>556.45000000000005</v>
      </c>
      <c r="H319" s="3" t="s">
        <v>347</v>
      </c>
      <c r="I319" s="3" t="str">
        <f t="shared" si="4"/>
        <v>Sep</v>
      </c>
    </row>
    <row r="320" spans="1:9" x14ac:dyDescent="0.25">
      <c r="A320">
        <v>10298</v>
      </c>
      <c r="B320" t="s">
        <v>140</v>
      </c>
      <c r="C320" s="6">
        <v>42618</v>
      </c>
      <c r="D320" s="6">
        <v>42646</v>
      </c>
      <c r="E320" s="6">
        <v>42624</v>
      </c>
      <c r="F320" s="3" t="s">
        <v>645</v>
      </c>
      <c r="G320" s="11">
        <v>841.1</v>
      </c>
      <c r="H320" s="3" t="s">
        <v>348</v>
      </c>
      <c r="I320" s="3" t="str">
        <f t="shared" si="4"/>
        <v>Sep</v>
      </c>
    </row>
    <row r="321" spans="1:9" x14ac:dyDescent="0.25">
      <c r="A321">
        <v>10309</v>
      </c>
      <c r="B321" t="s">
        <v>140</v>
      </c>
      <c r="C321" s="6">
        <v>42632</v>
      </c>
      <c r="D321" s="6">
        <v>42660</v>
      </c>
      <c r="E321" s="6">
        <v>42666</v>
      </c>
      <c r="F321" s="3" t="s">
        <v>644</v>
      </c>
      <c r="G321" s="11">
        <v>236.5</v>
      </c>
      <c r="H321" s="3" t="s">
        <v>348</v>
      </c>
      <c r="I321" s="3" t="str">
        <f t="shared" si="4"/>
        <v>Sep</v>
      </c>
    </row>
    <row r="322" spans="1:9" x14ac:dyDescent="0.25">
      <c r="A322">
        <v>10335</v>
      </c>
      <c r="B322" t="s">
        <v>140</v>
      </c>
      <c r="C322" s="6">
        <v>42665</v>
      </c>
      <c r="D322" s="6">
        <v>42693</v>
      </c>
      <c r="E322" s="6">
        <v>42667</v>
      </c>
      <c r="F322" s="3" t="s">
        <v>645</v>
      </c>
      <c r="G322" s="11">
        <v>210.55</v>
      </c>
      <c r="H322" s="3" t="s">
        <v>348</v>
      </c>
      <c r="I322" s="3" t="str">
        <f t="shared" si="4"/>
        <v>Oct</v>
      </c>
    </row>
    <row r="323" spans="1:9" x14ac:dyDescent="0.25">
      <c r="A323">
        <v>10373</v>
      </c>
      <c r="B323" t="s">
        <v>140</v>
      </c>
      <c r="C323" s="6">
        <v>42709</v>
      </c>
      <c r="D323" s="6">
        <v>42737</v>
      </c>
      <c r="E323" s="6">
        <v>42715</v>
      </c>
      <c r="F323" s="3" t="s">
        <v>646</v>
      </c>
      <c r="G323" s="11">
        <v>620.6</v>
      </c>
      <c r="H323" s="3" t="s">
        <v>348</v>
      </c>
      <c r="I323" s="3" t="str">
        <f t="shared" ref="I323:I386" si="5">TEXT(C323,"mmm")</f>
        <v>Dec</v>
      </c>
    </row>
    <row r="324" spans="1:9" x14ac:dyDescent="0.25">
      <c r="A324">
        <v>10380</v>
      </c>
      <c r="B324" t="s">
        <v>140</v>
      </c>
      <c r="C324" s="6">
        <v>42716</v>
      </c>
      <c r="D324" s="6">
        <v>42744</v>
      </c>
      <c r="E324" s="6">
        <v>42751</v>
      </c>
      <c r="F324" s="3" t="s">
        <v>646</v>
      </c>
      <c r="G324" s="11">
        <v>175.15</v>
      </c>
      <c r="H324" s="3" t="s">
        <v>348</v>
      </c>
      <c r="I324" s="3" t="str">
        <f t="shared" si="5"/>
        <v>Dec</v>
      </c>
    </row>
    <row r="325" spans="1:9" x14ac:dyDescent="0.25">
      <c r="A325">
        <v>10429</v>
      </c>
      <c r="B325" t="s">
        <v>140</v>
      </c>
      <c r="C325" s="6">
        <v>42764</v>
      </c>
      <c r="D325" s="6">
        <v>42806</v>
      </c>
      <c r="E325" s="6">
        <v>42773</v>
      </c>
      <c r="F325" s="3" t="s">
        <v>645</v>
      </c>
      <c r="G325" s="11">
        <v>283.15000000000003</v>
      </c>
      <c r="H325" s="3" t="s">
        <v>348</v>
      </c>
      <c r="I325" s="3" t="str">
        <f t="shared" si="5"/>
        <v>Jan</v>
      </c>
    </row>
    <row r="326" spans="1:9" x14ac:dyDescent="0.25">
      <c r="A326">
        <v>10503</v>
      </c>
      <c r="B326" t="s">
        <v>140</v>
      </c>
      <c r="C326" s="6">
        <v>42836</v>
      </c>
      <c r="D326" s="6">
        <v>42864</v>
      </c>
      <c r="E326" s="6">
        <v>42841</v>
      </c>
      <c r="F326" s="3" t="s">
        <v>645</v>
      </c>
      <c r="G326" s="11">
        <v>83.699999999999989</v>
      </c>
      <c r="H326" s="3" t="s">
        <v>348</v>
      </c>
      <c r="I326" s="3" t="str">
        <f t="shared" si="5"/>
        <v>Apr</v>
      </c>
    </row>
    <row r="327" spans="1:9" x14ac:dyDescent="0.25">
      <c r="A327">
        <v>10516</v>
      </c>
      <c r="B327" t="s">
        <v>140</v>
      </c>
      <c r="C327" s="6">
        <v>42849</v>
      </c>
      <c r="D327" s="6">
        <v>42877</v>
      </c>
      <c r="E327" s="6">
        <v>42856</v>
      </c>
      <c r="F327" s="3" t="s">
        <v>646</v>
      </c>
      <c r="G327" s="11">
        <v>313.89999999999998</v>
      </c>
      <c r="H327" s="3" t="s">
        <v>348</v>
      </c>
      <c r="I327" s="3" t="str">
        <f t="shared" si="5"/>
        <v>Apr</v>
      </c>
    </row>
    <row r="328" spans="1:9" x14ac:dyDescent="0.25">
      <c r="A328">
        <v>10567</v>
      </c>
      <c r="B328" t="s">
        <v>140</v>
      </c>
      <c r="C328" s="6">
        <v>42898</v>
      </c>
      <c r="D328" s="6">
        <v>42926</v>
      </c>
      <c r="E328" s="6">
        <v>42903</v>
      </c>
      <c r="F328" s="3" t="s">
        <v>644</v>
      </c>
      <c r="G328" s="11">
        <v>169.85</v>
      </c>
      <c r="H328" s="3" t="s">
        <v>348</v>
      </c>
      <c r="I328" s="3" t="str">
        <f t="shared" si="5"/>
        <v>Jun</v>
      </c>
    </row>
    <row r="329" spans="1:9" x14ac:dyDescent="0.25">
      <c r="A329">
        <v>10646</v>
      </c>
      <c r="B329" t="s">
        <v>140</v>
      </c>
      <c r="C329" s="6">
        <v>42974</v>
      </c>
      <c r="D329" s="6">
        <v>43016</v>
      </c>
      <c r="E329" s="6">
        <v>42981</v>
      </c>
      <c r="F329" s="3" t="s">
        <v>646</v>
      </c>
      <c r="G329" s="11">
        <v>711.65000000000009</v>
      </c>
      <c r="H329" s="3" t="s">
        <v>348</v>
      </c>
      <c r="I329" s="3" t="str">
        <f t="shared" si="5"/>
        <v>Aug</v>
      </c>
    </row>
    <row r="330" spans="1:9" x14ac:dyDescent="0.25">
      <c r="A330">
        <v>10661</v>
      </c>
      <c r="B330" t="s">
        <v>140</v>
      </c>
      <c r="C330" s="6">
        <v>42987</v>
      </c>
      <c r="D330" s="6">
        <v>43015</v>
      </c>
      <c r="E330" s="6">
        <v>42993</v>
      </c>
      <c r="F330" s="3" t="s">
        <v>646</v>
      </c>
      <c r="G330" s="11">
        <v>87.75</v>
      </c>
      <c r="H330" s="3" t="s">
        <v>348</v>
      </c>
      <c r="I330" s="3" t="str">
        <f t="shared" si="5"/>
        <v>Sep</v>
      </c>
    </row>
    <row r="331" spans="1:9" x14ac:dyDescent="0.25">
      <c r="A331">
        <v>10687</v>
      </c>
      <c r="B331" t="s">
        <v>140</v>
      </c>
      <c r="C331" s="6">
        <v>43008</v>
      </c>
      <c r="D331" s="6">
        <v>43036</v>
      </c>
      <c r="E331" s="6">
        <v>43038</v>
      </c>
      <c r="F331" s="3" t="s">
        <v>645</v>
      </c>
      <c r="G331" s="11">
        <v>1482.15</v>
      </c>
      <c r="H331" s="3" t="s">
        <v>348</v>
      </c>
      <c r="I331" s="3" t="str">
        <f t="shared" si="5"/>
        <v>Sep</v>
      </c>
    </row>
    <row r="332" spans="1:9" x14ac:dyDescent="0.25">
      <c r="A332">
        <v>10701</v>
      </c>
      <c r="B332" t="s">
        <v>140</v>
      </c>
      <c r="C332" s="6">
        <v>43021</v>
      </c>
      <c r="D332" s="6">
        <v>43035</v>
      </c>
      <c r="E332" s="6">
        <v>43023</v>
      </c>
      <c r="F332" s="3" t="s">
        <v>646</v>
      </c>
      <c r="G332" s="11">
        <v>1101.55</v>
      </c>
      <c r="H332" s="3" t="s">
        <v>348</v>
      </c>
      <c r="I332" s="3" t="str">
        <f t="shared" si="5"/>
        <v>Oct</v>
      </c>
    </row>
    <row r="333" spans="1:9" x14ac:dyDescent="0.25">
      <c r="A333">
        <v>10712</v>
      </c>
      <c r="B333" t="s">
        <v>140</v>
      </c>
      <c r="C333" s="6">
        <v>43029</v>
      </c>
      <c r="D333" s="6">
        <v>43057</v>
      </c>
      <c r="E333" s="6">
        <v>43039</v>
      </c>
      <c r="F333" s="3" t="s">
        <v>644</v>
      </c>
      <c r="G333" s="11">
        <v>449.65000000000003</v>
      </c>
      <c r="H333" s="3" t="s">
        <v>348</v>
      </c>
      <c r="I333" s="3" t="str">
        <f t="shared" si="5"/>
        <v>Oct</v>
      </c>
    </row>
    <row r="334" spans="1:9" x14ac:dyDescent="0.25">
      <c r="A334">
        <v>10736</v>
      </c>
      <c r="B334" t="s">
        <v>140</v>
      </c>
      <c r="C334" s="6">
        <v>43050</v>
      </c>
      <c r="D334" s="6">
        <v>43078</v>
      </c>
      <c r="E334" s="6">
        <v>43060</v>
      </c>
      <c r="F334" s="3" t="s">
        <v>645</v>
      </c>
      <c r="G334" s="11">
        <v>220.5</v>
      </c>
      <c r="H334" s="3" t="s">
        <v>348</v>
      </c>
      <c r="I334" s="3" t="str">
        <f t="shared" si="5"/>
        <v>Nov</v>
      </c>
    </row>
    <row r="335" spans="1:9" x14ac:dyDescent="0.25">
      <c r="A335">
        <v>10897</v>
      </c>
      <c r="B335" t="s">
        <v>140</v>
      </c>
      <c r="C335" s="6">
        <v>43150</v>
      </c>
      <c r="D335" s="6">
        <v>43178</v>
      </c>
      <c r="E335" s="6">
        <v>43156</v>
      </c>
      <c r="F335" s="3" t="s">
        <v>645</v>
      </c>
      <c r="G335" s="11">
        <v>3017.7</v>
      </c>
      <c r="H335" s="3" t="s">
        <v>348</v>
      </c>
      <c r="I335" s="3" t="str">
        <f t="shared" si="5"/>
        <v>Feb</v>
      </c>
    </row>
    <row r="336" spans="1:9" x14ac:dyDescent="0.25">
      <c r="A336">
        <v>10912</v>
      </c>
      <c r="B336" t="s">
        <v>140</v>
      </c>
      <c r="C336" s="6">
        <v>43157</v>
      </c>
      <c r="D336" s="6">
        <v>43185</v>
      </c>
      <c r="E336" s="6">
        <v>43177</v>
      </c>
      <c r="F336" s="3" t="s">
        <v>645</v>
      </c>
      <c r="G336" s="11">
        <v>2904.5499999999997</v>
      </c>
      <c r="H336" s="3" t="s">
        <v>348</v>
      </c>
      <c r="I336" s="3" t="str">
        <f t="shared" si="5"/>
        <v>Feb</v>
      </c>
    </row>
    <row r="337" spans="1:9" x14ac:dyDescent="0.25">
      <c r="A337">
        <v>10985</v>
      </c>
      <c r="B337" t="s">
        <v>140</v>
      </c>
      <c r="C337" s="6">
        <v>43189</v>
      </c>
      <c r="D337" s="6">
        <v>43217</v>
      </c>
      <c r="E337" s="6">
        <v>43192</v>
      </c>
      <c r="F337" s="3" t="s">
        <v>644</v>
      </c>
      <c r="G337" s="11">
        <v>457.55</v>
      </c>
      <c r="H337" s="3" t="s">
        <v>348</v>
      </c>
      <c r="I337" s="3" t="str">
        <f t="shared" si="5"/>
        <v>Mar</v>
      </c>
    </row>
    <row r="338" spans="1:9" x14ac:dyDescent="0.25">
      <c r="A338">
        <v>11063</v>
      </c>
      <c r="B338" t="s">
        <v>140</v>
      </c>
      <c r="C338" s="6">
        <v>43220</v>
      </c>
      <c r="D338" s="6">
        <v>43248</v>
      </c>
      <c r="E338" s="6">
        <v>43226</v>
      </c>
      <c r="F338" s="3" t="s">
        <v>645</v>
      </c>
      <c r="G338" s="11">
        <v>408.65000000000003</v>
      </c>
      <c r="H338" s="3" t="s">
        <v>348</v>
      </c>
      <c r="I338" s="3" t="str">
        <f t="shared" si="5"/>
        <v>Apr</v>
      </c>
    </row>
    <row r="339" spans="1:9" x14ac:dyDescent="0.25">
      <c r="A339">
        <v>10315</v>
      </c>
      <c r="B339" t="s">
        <v>143</v>
      </c>
      <c r="C339" s="6">
        <v>42639</v>
      </c>
      <c r="D339" s="6">
        <v>42667</v>
      </c>
      <c r="E339" s="6">
        <v>42646</v>
      </c>
      <c r="F339" s="3" t="s">
        <v>645</v>
      </c>
      <c r="G339" s="11">
        <v>208.79999999999998</v>
      </c>
      <c r="H339" s="3" t="s">
        <v>14</v>
      </c>
      <c r="I339" s="3" t="str">
        <f t="shared" si="5"/>
        <v>Sep</v>
      </c>
    </row>
    <row r="340" spans="1:9" x14ac:dyDescent="0.25">
      <c r="A340">
        <v>10318</v>
      </c>
      <c r="B340" t="s">
        <v>143</v>
      </c>
      <c r="C340" s="6">
        <v>42644</v>
      </c>
      <c r="D340" s="6">
        <v>42672</v>
      </c>
      <c r="E340" s="6">
        <v>42647</v>
      </c>
      <c r="F340" s="3" t="s">
        <v>645</v>
      </c>
      <c r="G340" s="11">
        <v>23.650000000000002</v>
      </c>
      <c r="H340" s="3" t="s">
        <v>14</v>
      </c>
      <c r="I340" s="3" t="str">
        <f t="shared" si="5"/>
        <v>Oct</v>
      </c>
    </row>
    <row r="341" spans="1:9" x14ac:dyDescent="0.25">
      <c r="A341">
        <v>10321</v>
      </c>
      <c r="B341" t="s">
        <v>143</v>
      </c>
      <c r="C341" s="6">
        <v>42646</v>
      </c>
      <c r="D341" s="6">
        <v>42674</v>
      </c>
      <c r="E341" s="6">
        <v>42654</v>
      </c>
      <c r="F341" s="3" t="s">
        <v>645</v>
      </c>
      <c r="G341" s="11">
        <v>17.150000000000002</v>
      </c>
      <c r="H341" s="3" t="s">
        <v>14</v>
      </c>
      <c r="I341" s="3" t="str">
        <f t="shared" si="5"/>
        <v>Oct</v>
      </c>
    </row>
    <row r="342" spans="1:9" x14ac:dyDescent="0.25">
      <c r="A342">
        <v>10473</v>
      </c>
      <c r="B342" t="s">
        <v>143</v>
      </c>
      <c r="C342" s="6">
        <v>42807</v>
      </c>
      <c r="D342" s="6">
        <v>42821</v>
      </c>
      <c r="E342" s="6">
        <v>42815</v>
      </c>
      <c r="F342" s="3" t="s">
        <v>646</v>
      </c>
      <c r="G342" s="11">
        <v>81.850000000000009</v>
      </c>
      <c r="H342" s="3" t="s">
        <v>14</v>
      </c>
      <c r="I342" s="3" t="str">
        <f t="shared" si="5"/>
        <v>Mar</v>
      </c>
    </row>
    <row r="343" spans="1:9" x14ac:dyDescent="0.25">
      <c r="A343">
        <v>10621</v>
      </c>
      <c r="B343" t="s">
        <v>143</v>
      </c>
      <c r="C343" s="6">
        <v>42952</v>
      </c>
      <c r="D343" s="6">
        <v>42980</v>
      </c>
      <c r="E343" s="6">
        <v>42958</v>
      </c>
      <c r="F343" s="3" t="s">
        <v>645</v>
      </c>
      <c r="G343" s="11">
        <v>118.65</v>
      </c>
      <c r="H343" s="3" t="s">
        <v>14</v>
      </c>
      <c r="I343" s="3" t="str">
        <f t="shared" si="5"/>
        <v>Aug</v>
      </c>
    </row>
    <row r="344" spans="1:9" x14ac:dyDescent="0.25">
      <c r="A344">
        <v>10674</v>
      </c>
      <c r="B344" t="s">
        <v>143</v>
      </c>
      <c r="C344" s="6">
        <v>42996</v>
      </c>
      <c r="D344" s="6">
        <v>43024</v>
      </c>
      <c r="E344" s="6">
        <v>43008</v>
      </c>
      <c r="F344" s="3" t="s">
        <v>645</v>
      </c>
      <c r="G344" s="11">
        <v>4.5</v>
      </c>
      <c r="H344" s="3" t="s">
        <v>14</v>
      </c>
      <c r="I344" s="3" t="str">
        <f t="shared" si="5"/>
        <v>Sep</v>
      </c>
    </row>
    <row r="345" spans="1:9" x14ac:dyDescent="0.25">
      <c r="A345">
        <v>10749</v>
      </c>
      <c r="B345" t="s">
        <v>143</v>
      </c>
      <c r="C345" s="6">
        <v>43059</v>
      </c>
      <c r="D345" s="6">
        <v>43087</v>
      </c>
      <c r="E345" s="6">
        <v>43088</v>
      </c>
      <c r="F345" s="3" t="s">
        <v>645</v>
      </c>
      <c r="G345" s="11">
        <v>307.64999999999998</v>
      </c>
      <c r="H345" s="3" t="s">
        <v>14</v>
      </c>
      <c r="I345" s="3" t="str">
        <f t="shared" si="5"/>
        <v>Nov</v>
      </c>
    </row>
    <row r="346" spans="1:9" x14ac:dyDescent="0.25">
      <c r="A346">
        <v>10798</v>
      </c>
      <c r="B346" t="s">
        <v>143</v>
      </c>
      <c r="C346" s="6">
        <v>43095</v>
      </c>
      <c r="D346" s="6">
        <v>43123</v>
      </c>
      <c r="E346" s="6">
        <v>43105</v>
      </c>
      <c r="F346" s="3" t="s">
        <v>644</v>
      </c>
      <c r="G346" s="11">
        <v>11.65</v>
      </c>
      <c r="H346" s="3" t="s">
        <v>14</v>
      </c>
      <c r="I346" s="3" t="str">
        <f t="shared" si="5"/>
        <v>Dec</v>
      </c>
    </row>
    <row r="347" spans="1:9" x14ac:dyDescent="0.25">
      <c r="A347">
        <v>10829</v>
      </c>
      <c r="B347" t="s">
        <v>143</v>
      </c>
      <c r="C347" s="6">
        <v>43113</v>
      </c>
      <c r="D347" s="6">
        <v>43141</v>
      </c>
      <c r="E347" s="6">
        <v>43123</v>
      </c>
      <c r="F347" s="3" t="s">
        <v>644</v>
      </c>
      <c r="G347" s="11">
        <v>773.6</v>
      </c>
      <c r="H347" s="3" t="s">
        <v>14</v>
      </c>
      <c r="I347" s="3" t="str">
        <f t="shared" si="5"/>
        <v>Jan</v>
      </c>
    </row>
    <row r="348" spans="1:9" x14ac:dyDescent="0.25">
      <c r="A348">
        <v>10933</v>
      </c>
      <c r="B348" t="s">
        <v>143</v>
      </c>
      <c r="C348" s="6">
        <v>43165</v>
      </c>
      <c r="D348" s="6">
        <v>43193</v>
      </c>
      <c r="E348" s="6">
        <v>43175</v>
      </c>
      <c r="F348" s="3" t="s">
        <v>646</v>
      </c>
      <c r="G348" s="11">
        <v>270.75</v>
      </c>
      <c r="H348" s="3" t="s">
        <v>14</v>
      </c>
      <c r="I348" s="3" t="str">
        <f t="shared" si="5"/>
        <v>Mar</v>
      </c>
    </row>
    <row r="349" spans="1:9" x14ac:dyDescent="0.25">
      <c r="A349">
        <v>10323</v>
      </c>
      <c r="B349" t="s">
        <v>145</v>
      </c>
      <c r="C349" s="6">
        <v>42650</v>
      </c>
      <c r="D349" s="6">
        <v>42678</v>
      </c>
      <c r="E349" s="6">
        <v>42657</v>
      </c>
      <c r="F349" s="3" t="s">
        <v>644</v>
      </c>
      <c r="G349" s="11">
        <v>24.4</v>
      </c>
      <c r="H349" s="3" t="s">
        <v>349</v>
      </c>
      <c r="I349" s="3" t="str">
        <f t="shared" si="5"/>
        <v>Oct</v>
      </c>
    </row>
    <row r="350" spans="1:9" x14ac:dyDescent="0.25">
      <c r="A350">
        <v>10325</v>
      </c>
      <c r="B350" t="s">
        <v>145</v>
      </c>
      <c r="C350" s="6">
        <v>42652</v>
      </c>
      <c r="D350" s="6">
        <v>42666</v>
      </c>
      <c r="E350" s="6">
        <v>42657</v>
      </c>
      <c r="F350" s="3" t="s">
        <v>646</v>
      </c>
      <c r="G350" s="11">
        <v>324.3</v>
      </c>
      <c r="H350" s="3" t="s">
        <v>349</v>
      </c>
      <c r="I350" s="3" t="str">
        <f t="shared" si="5"/>
        <v>Oct</v>
      </c>
    </row>
    <row r="351" spans="1:9" x14ac:dyDescent="0.25">
      <c r="A351">
        <v>10456</v>
      </c>
      <c r="B351" t="s">
        <v>145</v>
      </c>
      <c r="C351" s="6">
        <v>42791</v>
      </c>
      <c r="D351" s="6">
        <v>42833</v>
      </c>
      <c r="E351" s="6">
        <v>42794</v>
      </c>
      <c r="F351" s="3" t="s">
        <v>645</v>
      </c>
      <c r="G351" s="11">
        <v>40.599999999999994</v>
      </c>
      <c r="H351" s="3" t="s">
        <v>349</v>
      </c>
      <c r="I351" s="3" t="str">
        <f t="shared" si="5"/>
        <v>Feb</v>
      </c>
    </row>
    <row r="352" spans="1:9" x14ac:dyDescent="0.25">
      <c r="A352">
        <v>10457</v>
      </c>
      <c r="B352" t="s">
        <v>145</v>
      </c>
      <c r="C352" s="6">
        <v>42791</v>
      </c>
      <c r="D352" s="6">
        <v>42819</v>
      </c>
      <c r="E352" s="6">
        <v>42797</v>
      </c>
      <c r="F352" s="3" t="s">
        <v>644</v>
      </c>
      <c r="G352" s="11">
        <v>57.85</v>
      </c>
      <c r="H352" s="3" t="s">
        <v>349</v>
      </c>
      <c r="I352" s="3" t="str">
        <f t="shared" si="5"/>
        <v>Feb</v>
      </c>
    </row>
    <row r="353" spans="1:9" x14ac:dyDescent="0.25">
      <c r="A353">
        <v>10468</v>
      </c>
      <c r="B353" t="s">
        <v>145</v>
      </c>
      <c r="C353" s="6">
        <v>42801</v>
      </c>
      <c r="D353" s="6">
        <v>42829</v>
      </c>
      <c r="E353" s="6">
        <v>42806</v>
      </c>
      <c r="F353" s="3" t="s">
        <v>646</v>
      </c>
      <c r="G353" s="11">
        <v>220.6</v>
      </c>
      <c r="H353" s="3" t="s">
        <v>349</v>
      </c>
      <c r="I353" s="3" t="str">
        <f t="shared" si="5"/>
        <v>Mar</v>
      </c>
    </row>
    <row r="354" spans="1:9" x14ac:dyDescent="0.25">
      <c r="A354">
        <v>10506</v>
      </c>
      <c r="B354" t="s">
        <v>145</v>
      </c>
      <c r="C354" s="6">
        <v>42840</v>
      </c>
      <c r="D354" s="6">
        <v>42868</v>
      </c>
      <c r="E354" s="6">
        <v>42857</v>
      </c>
      <c r="F354" s="3" t="s">
        <v>645</v>
      </c>
      <c r="G354" s="11">
        <v>105.95</v>
      </c>
      <c r="H354" s="3" t="s">
        <v>349</v>
      </c>
      <c r="I354" s="3" t="str">
        <f t="shared" si="5"/>
        <v>Apr</v>
      </c>
    </row>
    <row r="355" spans="1:9" x14ac:dyDescent="0.25">
      <c r="A355">
        <v>10542</v>
      </c>
      <c r="B355" t="s">
        <v>145</v>
      </c>
      <c r="C355" s="6">
        <v>42875</v>
      </c>
      <c r="D355" s="6">
        <v>42903</v>
      </c>
      <c r="E355" s="6">
        <v>42881</v>
      </c>
      <c r="F355" s="3" t="s">
        <v>646</v>
      </c>
      <c r="G355" s="11">
        <v>54.75</v>
      </c>
      <c r="H355" s="3" t="s">
        <v>349</v>
      </c>
      <c r="I355" s="3" t="str">
        <f t="shared" si="5"/>
        <v>May</v>
      </c>
    </row>
    <row r="356" spans="1:9" x14ac:dyDescent="0.25">
      <c r="A356">
        <v>10630</v>
      </c>
      <c r="B356" t="s">
        <v>145</v>
      </c>
      <c r="C356" s="6">
        <v>42960</v>
      </c>
      <c r="D356" s="6">
        <v>42988</v>
      </c>
      <c r="E356" s="6">
        <v>42966</v>
      </c>
      <c r="F356" s="3" t="s">
        <v>645</v>
      </c>
      <c r="G356" s="11">
        <v>161.75</v>
      </c>
      <c r="H356" s="3" t="s">
        <v>349</v>
      </c>
      <c r="I356" s="3" t="str">
        <f t="shared" si="5"/>
        <v>Aug</v>
      </c>
    </row>
    <row r="357" spans="1:9" x14ac:dyDescent="0.25">
      <c r="A357">
        <v>10718</v>
      </c>
      <c r="B357" t="s">
        <v>145</v>
      </c>
      <c r="C357" s="6">
        <v>43035</v>
      </c>
      <c r="D357" s="6">
        <v>43063</v>
      </c>
      <c r="E357" s="6">
        <v>43037</v>
      </c>
      <c r="F357" s="3" t="s">
        <v>646</v>
      </c>
      <c r="G357" s="11">
        <v>854.4</v>
      </c>
      <c r="H357" s="3" t="s">
        <v>349</v>
      </c>
      <c r="I357" s="3" t="str">
        <f t="shared" si="5"/>
        <v>Oct</v>
      </c>
    </row>
    <row r="358" spans="1:9" x14ac:dyDescent="0.25">
      <c r="A358">
        <v>10799</v>
      </c>
      <c r="B358" t="s">
        <v>145</v>
      </c>
      <c r="C358" s="6">
        <v>43095</v>
      </c>
      <c r="D358" s="6">
        <v>43137</v>
      </c>
      <c r="E358" s="6">
        <v>43105</v>
      </c>
      <c r="F358" s="3" t="s">
        <v>646</v>
      </c>
      <c r="G358" s="11">
        <v>153.80000000000001</v>
      </c>
      <c r="H358" s="3" t="s">
        <v>349</v>
      </c>
      <c r="I358" s="3" t="str">
        <f t="shared" si="5"/>
        <v>Dec</v>
      </c>
    </row>
    <row r="359" spans="1:9" x14ac:dyDescent="0.25">
      <c r="A359">
        <v>10817</v>
      </c>
      <c r="B359" t="s">
        <v>145</v>
      </c>
      <c r="C359" s="6">
        <v>43106</v>
      </c>
      <c r="D359" s="6">
        <v>43120</v>
      </c>
      <c r="E359" s="6">
        <v>43113</v>
      </c>
      <c r="F359" s="3" t="s">
        <v>645</v>
      </c>
      <c r="G359" s="11">
        <v>1530.35</v>
      </c>
      <c r="H359" s="3" t="s">
        <v>349</v>
      </c>
      <c r="I359" s="3" t="str">
        <f t="shared" si="5"/>
        <v>Jan</v>
      </c>
    </row>
    <row r="360" spans="1:9" x14ac:dyDescent="0.25">
      <c r="A360">
        <v>10849</v>
      </c>
      <c r="B360" t="s">
        <v>145</v>
      </c>
      <c r="C360" s="6">
        <v>43123</v>
      </c>
      <c r="D360" s="6">
        <v>43151</v>
      </c>
      <c r="E360" s="6">
        <v>43130</v>
      </c>
      <c r="F360" s="3" t="s">
        <v>645</v>
      </c>
      <c r="G360" s="11">
        <v>2.8000000000000003</v>
      </c>
      <c r="H360" s="3" t="s">
        <v>349</v>
      </c>
      <c r="I360" s="3" t="str">
        <f t="shared" si="5"/>
        <v>Jan</v>
      </c>
    </row>
    <row r="361" spans="1:9" x14ac:dyDescent="0.25">
      <c r="A361">
        <v>10893</v>
      </c>
      <c r="B361" t="s">
        <v>145</v>
      </c>
      <c r="C361" s="6">
        <v>43149</v>
      </c>
      <c r="D361" s="6">
        <v>43177</v>
      </c>
      <c r="E361" s="6">
        <v>43151</v>
      </c>
      <c r="F361" s="3" t="s">
        <v>645</v>
      </c>
      <c r="G361" s="11">
        <v>388.9</v>
      </c>
      <c r="H361" s="3" t="s">
        <v>349</v>
      </c>
      <c r="I361" s="3" t="str">
        <f t="shared" si="5"/>
        <v>Feb</v>
      </c>
    </row>
    <row r="362" spans="1:9" x14ac:dyDescent="0.25">
      <c r="A362">
        <v>11028</v>
      </c>
      <c r="B362" t="s">
        <v>145</v>
      </c>
      <c r="C362" s="6">
        <v>43206</v>
      </c>
      <c r="D362" s="6">
        <v>43234</v>
      </c>
      <c r="E362" s="6">
        <v>43212</v>
      </c>
      <c r="F362" s="3" t="s">
        <v>644</v>
      </c>
      <c r="G362" s="11">
        <v>147.94999999999999</v>
      </c>
      <c r="H362" s="3" t="s">
        <v>349</v>
      </c>
      <c r="I362" s="3" t="str">
        <f t="shared" si="5"/>
        <v>Apr</v>
      </c>
    </row>
    <row r="363" spans="1:9" x14ac:dyDescent="0.25">
      <c r="A363">
        <v>10858</v>
      </c>
      <c r="B363" t="s">
        <v>147</v>
      </c>
      <c r="C363" s="6">
        <v>43129</v>
      </c>
      <c r="D363" s="6">
        <v>43157</v>
      </c>
      <c r="E363" s="6">
        <v>43134</v>
      </c>
      <c r="F363" s="3" t="s">
        <v>644</v>
      </c>
      <c r="G363" s="11">
        <v>262.55</v>
      </c>
      <c r="H363" s="3" t="s">
        <v>350</v>
      </c>
      <c r="I363" s="3" t="str">
        <f t="shared" si="5"/>
        <v>Jan</v>
      </c>
    </row>
    <row r="364" spans="1:9" x14ac:dyDescent="0.25">
      <c r="A364">
        <v>10927</v>
      </c>
      <c r="B364" t="s">
        <v>147</v>
      </c>
      <c r="C364" s="6">
        <v>43164</v>
      </c>
      <c r="D364" s="6">
        <v>43192</v>
      </c>
      <c r="E364" s="6">
        <v>43198</v>
      </c>
      <c r="F364" s="3" t="s">
        <v>644</v>
      </c>
      <c r="G364" s="11">
        <v>98.949999999999989</v>
      </c>
      <c r="H364" s="3" t="s">
        <v>350</v>
      </c>
      <c r="I364" s="3" t="str">
        <f t="shared" si="5"/>
        <v>Mar</v>
      </c>
    </row>
    <row r="365" spans="1:9" x14ac:dyDescent="0.25">
      <c r="A365">
        <v>10972</v>
      </c>
      <c r="B365" t="s">
        <v>147</v>
      </c>
      <c r="C365" s="6">
        <v>43183</v>
      </c>
      <c r="D365" s="6">
        <v>43211</v>
      </c>
      <c r="E365" s="6">
        <v>43185</v>
      </c>
      <c r="F365" s="3" t="s">
        <v>645</v>
      </c>
      <c r="G365" s="11">
        <v>0.1</v>
      </c>
      <c r="H365" s="3" t="s">
        <v>350</v>
      </c>
      <c r="I365" s="3" t="str">
        <f t="shared" si="5"/>
        <v>Mar</v>
      </c>
    </row>
    <row r="366" spans="1:9" x14ac:dyDescent="0.25">
      <c r="A366">
        <v>10973</v>
      </c>
      <c r="B366" t="s">
        <v>147</v>
      </c>
      <c r="C366" s="6">
        <v>43183</v>
      </c>
      <c r="D366" s="6">
        <v>43211</v>
      </c>
      <c r="E366" s="6">
        <v>43186</v>
      </c>
      <c r="F366" s="3" t="s">
        <v>645</v>
      </c>
      <c r="G366" s="11">
        <v>75.849999999999994</v>
      </c>
      <c r="H366" s="3" t="s">
        <v>350</v>
      </c>
      <c r="I366" s="3" t="str">
        <f t="shared" si="5"/>
        <v>Mar</v>
      </c>
    </row>
    <row r="367" spans="1:9" x14ac:dyDescent="0.25">
      <c r="A367">
        <v>10350</v>
      </c>
      <c r="B367" t="s">
        <v>150</v>
      </c>
      <c r="C367" s="6">
        <v>42685</v>
      </c>
      <c r="D367" s="6">
        <v>42713</v>
      </c>
      <c r="E367" s="6">
        <v>42707</v>
      </c>
      <c r="F367" s="3" t="s">
        <v>645</v>
      </c>
      <c r="G367" s="11">
        <v>320.95</v>
      </c>
      <c r="H367" s="3" t="s">
        <v>351</v>
      </c>
      <c r="I367" s="3" t="str">
        <f t="shared" si="5"/>
        <v>Nov</v>
      </c>
    </row>
    <row r="368" spans="1:9" x14ac:dyDescent="0.25">
      <c r="A368">
        <v>10358</v>
      </c>
      <c r="B368" t="s">
        <v>150</v>
      </c>
      <c r="C368" s="6">
        <v>42694</v>
      </c>
      <c r="D368" s="6">
        <v>42722</v>
      </c>
      <c r="E368" s="6">
        <v>42701</v>
      </c>
      <c r="F368" s="3" t="s">
        <v>644</v>
      </c>
      <c r="G368" s="11">
        <v>98.2</v>
      </c>
      <c r="H368" s="3" t="s">
        <v>351</v>
      </c>
      <c r="I368" s="3" t="str">
        <f t="shared" si="5"/>
        <v>Nov</v>
      </c>
    </row>
    <row r="369" spans="1:9" x14ac:dyDescent="0.25">
      <c r="A369">
        <v>10371</v>
      </c>
      <c r="B369" t="s">
        <v>150</v>
      </c>
      <c r="C369" s="6">
        <v>42707</v>
      </c>
      <c r="D369" s="6">
        <v>42735</v>
      </c>
      <c r="E369" s="6">
        <v>42728</v>
      </c>
      <c r="F369" s="3" t="s">
        <v>644</v>
      </c>
      <c r="G369" s="11">
        <v>2.25</v>
      </c>
      <c r="H369" s="3" t="s">
        <v>351</v>
      </c>
      <c r="I369" s="3" t="str">
        <f t="shared" si="5"/>
        <v>Dec</v>
      </c>
    </row>
    <row r="370" spans="1:9" x14ac:dyDescent="0.25">
      <c r="A370">
        <v>10413</v>
      </c>
      <c r="B370" t="s">
        <v>150</v>
      </c>
      <c r="C370" s="6">
        <v>42749</v>
      </c>
      <c r="D370" s="6">
        <v>42777</v>
      </c>
      <c r="E370" s="6">
        <v>42751</v>
      </c>
      <c r="F370" s="3" t="s">
        <v>645</v>
      </c>
      <c r="G370" s="11">
        <v>478.29999999999995</v>
      </c>
      <c r="H370" s="3" t="s">
        <v>351</v>
      </c>
      <c r="I370" s="3" t="str">
        <f t="shared" si="5"/>
        <v>Jan</v>
      </c>
    </row>
    <row r="371" spans="1:9" x14ac:dyDescent="0.25">
      <c r="A371">
        <v>10425</v>
      </c>
      <c r="B371" t="s">
        <v>150</v>
      </c>
      <c r="C371" s="6">
        <v>42759</v>
      </c>
      <c r="D371" s="6">
        <v>42787</v>
      </c>
      <c r="E371" s="6">
        <v>42780</v>
      </c>
      <c r="F371" s="3" t="s">
        <v>645</v>
      </c>
      <c r="G371" s="11">
        <v>39.65</v>
      </c>
      <c r="H371" s="3" t="s">
        <v>351</v>
      </c>
      <c r="I371" s="3" t="str">
        <f t="shared" si="5"/>
        <v>Jan</v>
      </c>
    </row>
    <row r="372" spans="1:9" x14ac:dyDescent="0.25">
      <c r="A372">
        <v>10454</v>
      </c>
      <c r="B372" t="s">
        <v>150</v>
      </c>
      <c r="C372" s="6">
        <v>42787</v>
      </c>
      <c r="D372" s="6">
        <v>42815</v>
      </c>
      <c r="E372" s="6">
        <v>42791</v>
      </c>
      <c r="F372" s="3" t="s">
        <v>646</v>
      </c>
      <c r="G372" s="11">
        <v>13.700000000000001</v>
      </c>
      <c r="H372" s="3" t="s">
        <v>351</v>
      </c>
      <c r="I372" s="3" t="str">
        <f t="shared" si="5"/>
        <v>Feb</v>
      </c>
    </row>
    <row r="373" spans="1:9" x14ac:dyDescent="0.25">
      <c r="A373">
        <v>10493</v>
      </c>
      <c r="B373" t="s">
        <v>150</v>
      </c>
      <c r="C373" s="6">
        <v>42827</v>
      </c>
      <c r="D373" s="6">
        <v>42855</v>
      </c>
      <c r="E373" s="6">
        <v>42835</v>
      </c>
      <c r="F373" s="3" t="s">
        <v>646</v>
      </c>
      <c r="G373" s="11">
        <v>53.2</v>
      </c>
      <c r="H373" s="3" t="s">
        <v>351</v>
      </c>
      <c r="I373" s="3" t="str">
        <f t="shared" si="5"/>
        <v>Apr</v>
      </c>
    </row>
    <row r="374" spans="1:9" x14ac:dyDescent="0.25">
      <c r="A374">
        <v>10500</v>
      </c>
      <c r="B374" t="s">
        <v>150</v>
      </c>
      <c r="C374" s="6">
        <v>42834</v>
      </c>
      <c r="D374" s="6">
        <v>42862</v>
      </c>
      <c r="E374" s="6">
        <v>42842</v>
      </c>
      <c r="F374" s="3" t="s">
        <v>644</v>
      </c>
      <c r="G374" s="11">
        <v>213.4</v>
      </c>
      <c r="H374" s="3" t="s">
        <v>351</v>
      </c>
      <c r="I374" s="3" t="str">
        <f t="shared" si="5"/>
        <v>Apr</v>
      </c>
    </row>
    <row r="375" spans="1:9" x14ac:dyDescent="0.25">
      <c r="A375">
        <v>10610</v>
      </c>
      <c r="B375" t="s">
        <v>150</v>
      </c>
      <c r="C375" s="6">
        <v>42941</v>
      </c>
      <c r="D375" s="6">
        <v>42969</v>
      </c>
      <c r="E375" s="6">
        <v>42953</v>
      </c>
      <c r="F375" s="3" t="s">
        <v>644</v>
      </c>
      <c r="G375" s="11">
        <v>133.9</v>
      </c>
      <c r="H375" s="3" t="s">
        <v>351</v>
      </c>
      <c r="I375" s="3" t="str">
        <f t="shared" si="5"/>
        <v>Jul</v>
      </c>
    </row>
    <row r="376" spans="1:9" x14ac:dyDescent="0.25">
      <c r="A376">
        <v>10631</v>
      </c>
      <c r="B376" t="s">
        <v>150</v>
      </c>
      <c r="C376" s="6">
        <v>42961</v>
      </c>
      <c r="D376" s="6">
        <v>42989</v>
      </c>
      <c r="E376" s="6">
        <v>42962</v>
      </c>
      <c r="F376" s="3" t="s">
        <v>644</v>
      </c>
      <c r="G376" s="11">
        <v>4.3499999999999996</v>
      </c>
      <c r="H376" s="3" t="s">
        <v>351</v>
      </c>
      <c r="I376" s="3" t="str">
        <f t="shared" si="5"/>
        <v>Aug</v>
      </c>
    </row>
    <row r="377" spans="1:9" x14ac:dyDescent="0.25">
      <c r="A377">
        <v>10787</v>
      </c>
      <c r="B377" t="s">
        <v>150</v>
      </c>
      <c r="C377" s="6">
        <v>43088</v>
      </c>
      <c r="D377" s="6">
        <v>43102</v>
      </c>
      <c r="E377" s="6">
        <v>43095</v>
      </c>
      <c r="F377" s="3" t="s">
        <v>644</v>
      </c>
      <c r="G377" s="11">
        <v>1249.6500000000001</v>
      </c>
      <c r="H377" s="3" t="s">
        <v>351</v>
      </c>
      <c r="I377" s="3" t="str">
        <f t="shared" si="5"/>
        <v>Dec</v>
      </c>
    </row>
    <row r="378" spans="1:9" x14ac:dyDescent="0.25">
      <c r="A378">
        <v>10832</v>
      </c>
      <c r="B378" t="s">
        <v>150</v>
      </c>
      <c r="C378" s="6">
        <v>43114</v>
      </c>
      <c r="D378" s="6">
        <v>43142</v>
      </c>
      <c r="E378" s="6">
        <v>43119</v>
      </c>
      <c r="F378" s="3" t="s">
        <v>645</v>
      </c>
      <c r="G378" s="11">
        <v>216.29999999999998</v>
      </c>
      <c r="H378" s="3" t="s">
        <v>351</v>
      </c>
      <c r="I378" s="3" t="str">
        <f t="shared" si="5"/>
        <v>Jan</v>
      </c>
    </row>
    <row r="379" spans="1:9" x14ac:dyDescent="0.25">
      <c r="A379">
        <v>10923</v>
      </c>
      <c r="B379" t="s">
        <v>150</v>
      </c>
      <c r="C379" s="6">
        <v>43162</v>
      </c>
      <c r="D379" s="6">
        <v>43204</v>
      </c>
      <c r="E379" s="6">
        <v>43172</v>
      </c>
      <c r="F379" s="3" t="s">
        <v>646</v>
      </c>
      <c r="G379" s="11">
        <v>341.3</v>
      </c>
      <c r="H379" s="3" t="s">
        <v>351</v>
      </c>
      <c r="I379" s="3" t="str">
        <f t="shared" si="5"/>
        <v>Mar</v>
      </c>
    </row>
    <row r="380" spans="1:9" x14ac:dyDescent="0.25">
      <c r="A380">
        <v>11051</v>
      </c>
      <c r="B380" t="s">
        <v>150</v>
      </c>
      <c r="C380" s="6">
        <v>43217</v>
      </c>
      <c r="D380" s="6">
        <v>43245</v>
      </c>
      <c r="E380" s="6"/>
      <c r="F380" s="3" t="s">
        <v>646</v>
      </c>
      <c r="G380" s="11">
        <v>13.95</v>
      </c>
      <c r="H380" s="3" t="s">
        <v>351</v>
      </c>
      <c r="I380" s="3" t="str">
        <f t="shared" si="5"/>
        <v>Apr</v>
      </c>
    </row>
    <row r="381" spans="1:9" x14ac:dyDescent="0.25">
      <c r="A381">
        <v>10495</v>
      </c>
      <c r="B381" t="s">
        <v>153</v>
      </c>
      <c r="C381" s="6">
        <v>42828</v>
      </c>
      <c r="D381" s="6">
        <v>42856</v>
      </c>
      <c r="E381" s="6">
        <v>42836</v>
      </c>
      <c r="F381" s="3" t="s">
        <v>646</v>
      </c>
      <c r="G381" s="11">
        <v>23.25</v>
      </c>
      <c r="H381" s="3" t="s">
        <v>352</v>
      </c>
      <c r="I381" s="3" t="str">
        <f t="shared" si="5"/>
        <v>Apr</v>
      </c>
    </row>
    <row r="382" spans="1:9" x14ac:dyDescent="0.25">
      <c r="A382">
        <v>10620</v>
      </c>
      <c r="B382" t="s">
        <v>153</v>
      </c>
      <c r="C382" s="6">
        <v>42952</v>
      </c>
      <c r="D382" s="6">
        <v>42980</v>
      </c>
      <c r="E382" s="6">
        <v>42961</v>
      </c>
      <c r="F382" s="3" t="s">
        <v>646</v>
      </c>
      <c r="G382" s="11">
        <v>4.6999999999999993</v>
      </c>
      <c r="H382" s="3" t="s">
        <v>352</v>
      </c>
      <c r="I382" s="3" t="str">
        <f t="shared" si="5"/>
        <v>Aug</v>
      </c>
    </row>
    <row r="383" spans="1:9" x14ac:dyDescent="0.25">
      <c r="A383">
        <v>10810</v>
      </c>
      <c r="B383" t="s">
        <v>153</v>
      </c>
      <c r="C383" s="6">
        <v>43101</v>
      </c>
      <c r="D383" s="6">
        <v>43129</v>
      </c>
      <c r="E383" s="6">
        <v>43107</v>
      </c>
      <c r="F383" s="3" t="s">
        <v>646</v>
      </c>
      <c r="G383" s="11">
        <v>21.65</v>
      </c>
      <c r="H383" s="3" t="s">
        <v>352</v>
      </c>
      <c r="I383" s="3" t="str">
        <f t="shared" si="5"/>
        <v>Jan</v>
      </c>
    </row>
    <row r="384" spans="1:9" x14ac:dyDescent="0.25">
      <c r="A384">
        <v>10482</v>
      </c>
      <c r="B384" t="s">
        <v>156</v>
      </c>
      <c r="C384" s="6">
        <v>42815</v>
      </c>
      <c r="D384" s="6">
        <v>42843</v>
      </c>
      <c r="E384" s="6">
        <v>42835</v>
      </c>
      <c r="F384" s="3" t="s">
        <v>646</v>
      </c>
      <c r="G384" s="11">
        <v>37.400000000000006</v>
      </c>
      <c r="H384" s="3" t="s">
        <v>353</v>
      </c>
      <c r="I384" s="3" t="str">
        <f t="shared" si="5"/>
        <v>Mar</v>
      </c>
    </row>
    <row r="385" spans="1:9" x14ac:dyDescent="0.25">
      <c r="A385">
        <v>10545</v>
      </c>
      <c r="B385" t="s">
        <v>156</v>
      </c>
      <c r="C385" s="6">
        <v>42877</v>
      </c>
      <c r="D385" s="6">
        <v>42905</v>
      </c>
      <c r="E385" s="6">
        <v>42912</v>
      </c>
      <c r="F385" s="3" t="s">
        <v>645</v>
      </c>
      <c r="G385" s="11">
        <v>59.6</v>
      </c>
      <c r="H385" s="3" t="s">
        <v>353</v>
      </c>
      <c r="I385" s="3" t="str">
        <f t="shared" si="5"/>
        <v>May</v>
      </c>
    </row>
    <row r="386" spans="1:9" x14ac:dyDescent="0.25">
      <c r="A386">
        <v>10279</v>
      </c>
      <c r="B386" t="s">
        <v>160</v>
      </c>
      <c r="C386" s="6">
        <v>42595</v>
      </c>
      <c r="D386" s="6">
        <v>42623</v>
      </c>
      <c r="E386" s="6">
        <v>42598</v>
      </c>
      <c r="F386" s="3" t="s">
        <v>645</v>
      </c>
      <c r="G386" s="11">
        <v>129.14999999999998</v>
      </c>
      <c r="H386" s="3" t="s">
        <v>354</v>
      </c>
      <c r="I386" s="3" t="str">
        <f t="shared" si="5"/>
        <v>Aug</v>
      </c>
    </row>
    <row r="387" spans="1:9" x14ac:dyDescent="0.25">
      <c r="A387">
        <v>10284</v>
      </c>
      <c r="B387" t="s">
        <v>160</v>
      </c>
      <c r="C387" s="6">
        <v>42601</v>
      </c>
      <c r="D387" s="6">
        <v>42629</v>
      </c>
      <c r="E387" s="6">
        <v>42609</v>
      </c>
      <c r="F387" s="3" t="s">
        <v>644</v>
      </c>
      <c r="G387" s="11">
        <v>382.8</v>
      </c>
      <c r="H387" s="3" t="s">
        <v>354</v>
      </c>
      <c r="I387" s="3" t="str">
        <f t="shared" ref="I387:I450" si="6">TEXT(C387,"mmm")</f>
        <v>Aug</v>
      </c>
    </row>
    <row r="388" spans="1:9" x14ac:dyDescent="0.25">
      <c r="A388">
        <v>10343</v>
      </c>
      <c r="B388" t="s">
        <v>160</v>
      </c>
      <c r="C388" s="6">
        <v>42674</v>
      </c>
      <c r="D388" s="6">
        <v>42702</v>
      </c>
      <c r="E388" s="6">
        <v>42680</v>
      </c>
      <c r="F388" s="3" t="s">
        <v>644</v>
      </c>
      <c r="G388" s="11">
        <v>551.85</v>
      </c>
      <c r="H388" s="3" t="s">
        <v>354</v>
      </c>
      <c r="I388" s="3" t="str">
        <f t="shared" si="6"/>
        <v>Oct</v>
      </c>
    </row>
    <row r="389" spans="1:9" x14ac:dyDescent="0.25">
      <c r="A389">
        <v>10497</v>
      </c>
      <c r="B389" t="s">
        <v>160</v>
      </c>
      <c r="C389" s="6">
        <v>42829</v>
      </c>
      <c r="D389" s="6">
        <v>42857</v>
      </c>
      <c r="E389" s="6">
        <v>42832</v>
      </c>
      <c r="F389" s="3" t="s">
        <v>644</v>
      </c>
      <c r="G389" s="11">
        <v>181.05</v>
      </c>
      <c r="H389" s="3" t="s">
        <v>354</v>
      </c>
      <c r="I389" s="3" t="str">
        <f t="shared" si="6"/>
        <v>Apr</v>
      </c>
    </row>
    <row r="390" spans="1:9" x14ac:dyDescent="0.25">
      <c r="A390">
        <v>10522</v>
      </c>
      <c r="B390" t="s">
        <v>160</v>
      </c>
      <c r="C390" s="6">
        <v>42855</v>
      </c>
      <c r="D390" s="6">
        <v>42883</v>
      </c>
      <c r="E390" s="6">
        <v>42861</v>
      </c>
      <c r="F390" s="3" t="s">
        <v>644</v>
      </c>
      <c r="G390" s="11">
        <v>226.64999999999998</v>
      </c>
      <c r="H390" s="3" t="s">
        <v>354</v>
      </c>
      <c r="I390" s="3" t="str">
        <f t="shared" si="6"/>
        <v>Apr</v>
      </c>
    </row>
    <row r="391" spans="1:9" x14ac:dyDescent="0.25">
      <c r="A391">
        <v>10534</v>
      </c>
      <c r="B391" t="s">
        <v>160</v>
      </c>
      <c r="C391" s="6">
        <v>42867</v>
      </c>
      <c r="D391" s="6">
        <v>42895</v>
      </c>
      <c r="E391" s="6">
        <v>42869</v>
      </c>
      <c r="F391" s="3" t="s">
        <v>645</v>
      </c>
      <c r="G391" s="11">
        <v>139.70000000000002</v>
      </c>
      <c r="H391" s="3" t="s">
        <v>354</v>
      </c>
      <c r="I391" s="3" t="str">
        <f t="shared" si="6"/>
        <v>May</v>
      </c>
    </row>
    <row r="392" spans="1:9" x14ac:dyDescent="0.25">
      <c r="A392">
        <v>10536</v>
      </c>
      <c r="B392" t="s">
        <v>160</v>
      </c>
      <c r="C392" s="6">
        <v>42869</v>
      </c>
      <c r="D392" s="6">
        <v>42897</v>
      </c>
      <c r="E392" s="6">
        <v>42892</v>
      </c>
      <c r="F392" s="3" t="s">
        <v>645</v>
      </c>
      <c r="G392" s="11">
        <v>294.40000000000003</v>
      </c>
      <c r="H392" s="3" t="s">
        <v>354</v>
      </c>
      <c r="I392" s="3" t="str">
        <f t="shared" si="6"/>
        <v>May</v>
      </c>
    </row>
    <row r="393" spans="1:9" x14ac:dyDescent="0.25">
      <c r="A393">
        <v>10557</v>
      </c>
      <c r="B393" t="s">
        <v>160</v>
      </c>
      <c r="C393" s="6">
        <v>42889</v>
      </c>
      <c r="D393" s="6">
        <v>42903</v>
      </c>
      <c r="E393" s="6">
        <v>42892</v>
      </c>
      <c r="F393" s="3" t="s">
        <v>645</v>
      </c>
      <c r="G393" s="11">
        <v>483.6</v>
      </c>
      <c r="H393" s="3" t="s">
        <v>354</v>
      </c>
      <c r="I393" s="3" t="str">
        <f t="shared" si="6"/>
        <v>Jun</v>
      </c>
    </row>
    <row r="394" spans="1:9" x14ac:dyDescent="0.25">
      <c r="A394">
        <v>10592</v>
      </c>
      <c r="B394" t="s">
        <v>160</v>
      </c>
      <c r="C394" s="6">
        <v>42924</v>
      </c>
      <c r="D394" s="6">
        <v>42952</v>
      </c>
      <c r="E394" s="6">
        <v>42932</v>
      </c>
      <c r="F394" s="3" t="s">
        <v>644</v>
      </c>
      <c r="G394" s="11">
        <v>160.5</v>
      </c>
      <c r="H394" s="3" t="s">
        <v>354</v>
      </c>
      <c r="I394" s="3" t="str">
        <f t="shared" si="6"/>
        <v>Jul</v>
      </c>
    </row>
    <row r="395" spans="1:9" x14ac:dyDescent="0.25">
      <c r="A395">
        <v>10593</v>
      </c>
      <c r="B395" t="s">
        <v>160</v>
      </c>
      <c r="C395" s="6">
        <v>42925</v>
      </c>
      <c r="D395" s="6">
        <v>42953</v>
      </c>
      <c r="E395" s="6">
        <v>42960</v>
      </c>
      <c r="F395" s="3" t="s">
        <v>645</v>
      </c>
      <c r="G395" s="11">
        <v>871</v>
      </c>
      <c r="H395" s="3" t="s">
        <v>354</v>
      </c>
      <c r="I395" s="3" t="str">
        <f t="shared" si="6"/>
        <v>Jul</v>
      </c>
    </row>
    <row r="396" spans="1:9" x14ac:dyDescent="0.25">
      <c r="A396">
        <v>10772</v>
      </c>
      <c r="B396" t="s">
        <v>160</v>
      </c>
      <c r="C396" s="6">
        <v>43079</v>
      </c>
      <c r="D396" s="6">
        <v>43107</v>
      </c>
      <c r="E396" s="6">
        <v>43088</v>
      </c>
      <c r="F396" s="3" t="s">
        <v>645</v>
      </c>
      <c r="G396" s="11">
        <v>456.4</v>
      </c>
      <c r="H396" s="3" t="s">
        <v>354</v>
      </c>
      <c r="I396" s="3" t="str">
        <f t="shared" si="6"/>
        <v>Dec</v>
      </c>
    </row>
    <row r="397" spans="1:9" x14ac:dyDescent="0.25">
      <c r="A397">
        <v>10862</v>
      </c>
      <c r="B397" t="s">
        <v>160</v>
      </c>
      <c r="C397" s="6">
        <v>43130</v>
      </c>
      <c r="D397" s="6">
        <v>43172</v>
      </c>
      <c r="E397" s="6">
        <v>43133</v>
      </c>
      <c r="F397" s="3" t="s">
        <v>645</v>
      </c>
      <c r="G397" s="11">
        <v>266.14999999999998</v>
      </c>
      <c r="H397" s="3" t="s">
        <v>354</v>
      </c>
      <c r="I397" s="3" t="str">
        <f t="shared" si="6"/>
        <v>Jan</v>
      </c>
    </row>
    <row r="398" spans="1:9" x14ac:dyDescent="0.25">
      <c r="A398">
        <v>10891</v>
      </c>
      <c r="B398" t="s">
        <v>160</v>
      </c>
      <c r="C398" s="6">
        <v>43148</v>
      </c>
      <c r="D398" s="6">
        <v>43176</v>
      </c>
      <c r="E398" s="6">
        <v>43150</v>
      </c>
      <c r="F398" s="3" t="s">
        <v>645</v>
      </c>
      <c r="G398" s="11">
        <v>101.85000000000001</v>
      </c>
      <c r="H398" s="3" t="s">
        <v>354</v>
      </c>
      <c r="I398" s="3" t="str">
        <f t="shared" si="6"/>
        <v>Feb</v>
      </c>
    </row>
    <row r="399" spans="1:9" x14ac:dyDescent="0.25">
      <c r="A399">
        <v>10934</v>
      </c>
      <c r="B399" t="s">
        <v>160</v>
      </c>
      <c r="C399" s="6">
        <v>43168</v>
      </c>
      <c r="D399" s="6">
        <v>43196</v>
      </c>
      <c r="E399" s="6">
        <v>43171</v>
      </c>
      <c r="F399" s="3" t="s">
        <v>646</v>
      </c>
      <c r="G399" s="11">
        <v>160.04999999999998</v>
      </c>
      <c r="H399" s="3" t="s">
        <v>354</v>
      </c>
      <c r="I399" s="3" t="str">
        <f t="shared" si="6"/>
        <v>Mar</v>
      </c>
    </row>
    <row r="400" spans="1:9" x14ac:dyDescent="0.25">
      <c r="A400">
        <v>11070</v>
      </c>
      <c r="B400" t="s">
        <v>160</v>
      </c>
      <c r="C400" s="6">
        <v>43225</v>
      </c>
      <c r="D400" s="6">
        <v>43253</v>
      </c>
      <c r="E400" s="6"/>
      <c r="F400" s="3" t="s">
        <v>644</v>
      </c>
      <c r="G400" s="11">
        <v>680</v>
      </c>
      <c r="H400" s="3" t="s">
        <v>354</v>
      </c>
      <c r="I400" s="3" t="str">
        <f t="shared" si="6"/>
        <v>May</v>
      </c>
    </row>
    <row r="401" spans="1:9" x14ac:dyDescent="0.25">
      <c r="A401">
        <v>10579</v>
      </c>
      <c r="B401" t="s">
        <v>163</v>
      </c>
      <c r="C401" s="6">
        <v>42911</v>
      </c>
      <c r="D401" s="6">
        <v>42939</v>
      </c>
      <c r="E401" s="6">
        <v>42920</v>
      </c>
      <c r="F401" s="3" t="s">
        <v>645</v>
      </c>
      <c r="G401" s="11">
        <v>68.650000000000006</v>
      </c>
      <c r="H401" s="3" t="s">
        <v>13</v>
      </c>
      <c r="I401" s="3" t="str">
        <f t="shared" si="6"/>
        <v>Jun</v>
      </c>
    </row>
    <row r="402" spans="1:9" x14ac:dyDescent="0.25">
      <c r="A402">
        <v>10719</v>
      </c>
      <c r="B402" t="s">
        <v>163</v>
      </c>
      <c r="C402" s="6">
        <v>43035</v>
      </c>
      <c r="D402" s="6">
        <v>43063</v>
      </c>
      <c r="E402" s="6">
        <v>43044</v>
      </c>
      <c r="F402" s="3" t="s">
        <v>645</v>
      </c>
      <c r="G402" s="11">
        <v>257.2</v>
      </c>
      <c r="H402" s="3" t="s">
        <v>13</v>
      </c>
      <c r="I402" s="3" t="str">
        <f t="shared" si="6"/>
        <v>Oct</v>
      </c>
    </row>
    <row r="403" spans="1:9" x14ac:dyDescent="0.25">
      <c r="A403">
        <v>10735</v>
      </c>
      <c r="B403" t="s">
        <v>163</v>
      </c>
      <c r="C403" s="6">
        <v>43049</v>
      </c>
      <c r="D403" s="6">
        <v>43077</v>
      </c>
      <c r="E403" s="6">
        <v>43060</v>
      </c>
      <c r="F403" s="3" t="s">
        <v>645</v>
      </c>
      <c r="G403" s="11">
        <v>229.85</v>
      </c>
      <c r="H403" s="3" t="s">
        <v>13</v>
      </c>
      <c r="I403" s="3" t="str">
        <f t="shared" si="6"/>
        <v>Nov</v>
      </c>
    </row>
    <row r="404" spans="1:9" x14ac:dyDescent="0.25">
      <c r="A404">
        <v>10884</v>
      </c>
      <c r="B404" t="s">
        <v>163</v>
      </c>
      <c r="C404" s="6">
        <v>43143</v>
      </c>
      <c r="D404" s="6">
        <v>43171</v>
      </c>
      <c r="E404" s="6">
        <v>43144</v>
      </c>
      <c r="F404" s="3" t="s">
        <v>645</v>
      </c>
      <c r="G404" s="11">
        <v>454.85</v>
      </c>
      <c r="H404" s="3" t="s">
        <v>13</v>
      </c>
      <c r="I404" s="3" t="str">
        <f t="shared" si="6"/>
        <v>Feb</v>
      </c>
    </row>
    <row r="405" spans="1:9" x14ac:dyDescent="0.25">
      <c r="A405">
        <v>10283</v>
      </c>
      <c r="B405" t="s">
        <v>166</v>
      </c>
      <c r="C405" s="6">
        <v>42598</v>
      </c>
      <c r="D405" s="6">
        <v>42626</v>
      </c>
      <c r="E405" s="6">
        <v>42605</v>
      </c>
      <c r="F405" s="3" t="s">
        <v>646</v>
      </c>
      <c r="G405" s="11">
        <v>424.05</v>
      </c>
      <c r="H405" s="3" t="s">
        <v>355</v>
      </c>
      <c r="I405" s="3" t="str">
        <f t="shared" si="6"/>
        <v>Aug</v>
      </c>
    </row>
    <row r="406" spans="1:9" x14ac:dyDescent="0.25">
      <c r="A406">
        <v>10296</v>
      </c>
      <c r="B406" t="s">
        <v>166</v>
      </c>
      <c r="C406" s="6">
        <v>42616</v>
      </c>
      <c r="D406" s="6">
        <v>42644</v>
      </c>
      <c r="E406" s="6">
        <v>42624</v>
      </c>
      <c r="F406" s="3" t="s">
        <v>644</v>
      </c>
      <c r="G406" s="11">
        <v>0.6</v>
      </c>
      <c r="H406" s="3" t="s">
        <v>355</v>
      </c>
      <c r="I406" s="3" t="str">
        <f t="shared" si="6"/>
        <v>Sep</v>
      </c>
    </row>
    <row r="407" spans="1:9" x14ac:dyDescent="0.25">
      <c r="A407">
        <v>10330</v>
      </c>
      <c r="B407" t="s">
        <v>166</v>
      </c>
      <c r="C407" s="6">
        <v>42659</v>
      </c>
      <c r="D407" s="6">
        <v>42687</v>
      </c>
      <c r="E407" s="6">
        <v>42671</v>
      </c>
      <c r="F407" s="3" t="s">
        <v>644</v>
      </c>
      <c r="G407" s="11">
        <v>63.75</v>
      </c>
      <c r="H407" s="3" t="s">
        <v>355</v>
      </c>
      <c r="I407" s="3" t="str">
        <f t="shared" si="6"/>
        <v>Oct</v>
      </c>
    </row>
    <row r="408" spans="1:9" x14ac:dyDescent="0.25">
      <c r="A408">
        <v>10357</v>
      </c>
      <c r="B408" t="s">
        <v>166</v>
      </c>
      <c r="C408" s="6">
        <v>42693</v>
      </c>
      <c r="D408" s="6">
        <v>42721</v>
      </c>
      <c r="E408" s="6">
        <v>42706</v>
      </c>
      <c r="F408" s="3" t="s">
        <v>646</v>
      </c>
      <c r="G408" s="11">
        <v>174.4</v>
      </c>
      <c r="H408" s="3" t="s">
        <v>355</v>
      </c>
      <c r="I408" s="3" t="str">
        <f t="shared" si="6"/>
        <v>Nov</v>
      </c>
    </row>
    <row r="409" spans="1:9" x14ac:dyDescent="0.25">
      <c r="A409">
        <v>10381</v>
      </c>
      <c r="B409" t="s">
        <v>166</v>
      </c>
      <c r="C409" s="6">
        <v>42716</v>
      </c>
      <c r="D409" s="6">
        <v>42744</v>
      </c>
      <c r="E409" s="6">
        <v>42717</v>
      </c>
      <c r="F409" s="3" t="s">
        <v>646</v>
      </c>
      <c r="G409" s="11">
        <v>39.950000000000003</v>
      </c>
      <c r="H409" s="3" t="s">
        <v>355</v>
      </c>
      <c r="I409" s="3" t="str">
        <f t="shared" si="6"/>
        <v>Dec</v>
      </c>
    </row>
    <row r="410" spans="1:9" x14ac:dyDescent="0.25">
      <c r="A410">
        <v>10461</v>
      </c>
      <c r="B410" t="s">
        <v>166</v>
      </c>
      <c r="C410" s="6">
        <v>42794</v>
      </c>
      <c r="D410" s="6">
        <v>42822</v>
      </c>
      <c r="E410" s="6">
        <v>42799</v>
      </c>
      <c r="F410" s="3" t="s">
        <v>646</v>
      </c>
      <c r="G410" s="11">
        <v>743.05000000000007</v>
      </c>
      <c r="H410" s="3" t="s">
        <v>355</v>
      </c>
      <c r="I410" s="3" t="str">
        <f t="shared" si="6"/>
        <v>Feb</v>
      </c>
    </row>
    <row r="411" spans="1:9" x14ac:dyDescent="0.25">
      <c r="A411">
        <v>10499</v>
      </c>
      <c r="B411" t="s">
        <v>166</v>
      </c>
      <c r="C411" s="6">
        <v>42833</v>
      </c>
      <c r="D411" s="6">
        <v>42861</v>
      </c>
      <c r="E411" s="6">
        <v>42841</v>
      </c>
      <c r="F411" s="3" t="s">
        <v>645</v>
      </c>
      <c r="G411" s="11">
        <v>510.09999999999997</v>
      </c>
      <c r="H411" s="3" t="s">
        <v>355</v>
      </c>
      <c r="I411" s="3" t="str">
        <f t="shared" si="6"/>
        <v>Apr</v>
      </c>
    </row>
    <row r="412" spans="1:9" x14ac:dyDescent="0.25">
      <c r="A412">
        <v>10543</v>
      </c>
      <c r="B412" t="s">
        <v>166</v>
      </c>
      <c r="C412" s="6">
        <v>42876</v>
      </c>
      <c r="D412" s="6">
        <v>42904</v>
      </c>
      <c r="E412" s="6">
        <v>42878</v>
      </c>
      <c r="F412" s="3" t="s">
        <v>645</v>
      </c>
      <c r="G412" s="11">
        <v>240.85000000000002</v>
      </c>
      <c r="H412" s="3" t="s">
        <v>355</v>
      </c>
      <c r="I412" s="3" t="str">
        <f t="shared" si="6"/>
        <v>May</v>
      </c>
    </row>
    <row r="413" spans="1:9" x14ac:dyDescent="0.25">
      <c r="A413">
        <v>10780</v>
      </c>
      <c r="B413" t="s">
        <v>166</v>
      </c>
      <c r="C413" s="6">
        <v>43085</v>
      </c>
      <c r="D413" s="6">
        <v>43099</v>
      </c>
      <c r="E413" s="6">
        <v>43094</v>
      </c>
      <c r="F413" s="3" t="s">
        <v>644</v>
      </c>
      <c r="G413" s="11">
        <v>210.65</v>
      </c>
      <c r="H413" s="3" t="s">
        <v>355</v>
      </c>
      <c r="I413" s="3" t="str">
        <f t="shared" si="6"/>
        <v>Dec</v>
      </c>
    </row>
    <row r="414" spans="1:9" x14ac:dyDescent="0.25">
      <c r="A414">
        <v>10823</v>
      </c>
      <c r="B414" t="s">
        <v>166</v>
      </c>
      <c r="C414" s="6">
        <v>43109</v>
      </c>
      <c r="D414" s="6">
        <v>43137</v>
      </c>
      <c r="E414" s="6">
        <v>43113</v>
      </c>
      <c r="F414" s="3" t="s">
        <v>645</v>
      </c>
      <c r="G414" s="11">
        <v>819.85</v>
      </c>
      <c r="H414" s="3" t="s">
        <v>355</v>
      </c>
      <c r="I414" s="3" t="str">
        <f t="shared" si="6"/>
        <v>Jan</v>
      </c>
    </row>
    <row r="415" spans="1:9" x14ac:dyDescent="0.25">
      <c r="A415">
        <v>10899</v>
      </c>
      <c r="B415" t="s">
        <v>166</v>
      </c>
      <c r="C415" s="6">
        <v>43151</v>
      </c>
      <c r="D415" s="6">
        <v>43179</v>
      </c>
      <c r="E415" s="6">
        <v>43157</v>
      </c>
      <c r="F415" s="3" t="s">
        <v>646</v>
      </c>
      <c r="G415" s="11">
        <v>6.05</v>
      </c>
      <c r="H415" s="3" t="s">
        <v>355</v>
      </c>
      <c r="I415" s="3" t="str">
        <f t="shared" si="6"/>
        <v>Feb</v>
      </c>
    </row>
    <row r="416" spans="1:9" x14ac:dyDescent="0.25">
      <c r="A416">
        <v>10997</v>
      </c>
      <c r="B416" t="s">
        <v>166</v>
      </c>
      <c r="C416" s="6">
        <v>43193</v>
      </c>
      <c r="D416" s="6">
        <v>43235</v>
      </c>
      <c r="E416" s="6">
        <v>43203</v>
      </c>
      <c r="F416" s="3" t="s">
        <v>645</v>
      </c>
      <c r="G416" s="11">
        <v>369.54999999999995</v>
      </c>
      <c r="H416" s="3" t="s">
        <v>355</v>
      </c>
      <c r="I416" s="3" t="str">
        <f t="shared" si="6"/>
        <v>Apr</v>
      </c>
    </row>
    <row r="417" spans="1:9" x14ac:dyDescent="0.25">
      <c r="A417">
        <v>11065</v>
      </c>
      <c r="B417" t="s">
        <v>166</v>
      </c>
      <c r="C417" s="6">
        <v>43221</v>
      </c>
      <c r="D417" s="6">
        <v>43249</v>
      </c>
      <c r="E417" s="6"/>
      <c r="F417" s="3" t="s">
        <v>644</v>
      </c>
      <c r="G417" s="11">
        <v>64.55</v>
      </c>
      <c r="H417" s="3" t="s">
        <v>355</v>
      </c>
      <c r="I417" s="3" t="str">
        <f t="shared" si="6"/>
        <v>May</v>
      </c>
    </row>
    <row r="418" spans="1:9" x14ac:dyDescent="0.25">
      <c r="A418">
        <v>11071</v>
      </c>
      <c r="B418" t="s">
        <v>166</v>
      </c>
      <c r="C418" s="6">
        <v>43225</v>
      </c>
      <c r="D418" s="6">
        <v>43253</v>
      </c>
      <c r="E418" s="6"/>
      <c r="F418" s="3" t="s">
        <v>644</v>
      </c>
      <c r="G418" s="11">
        <v>4.6500000000000004</v>
      </c>
      <c r="H418" s="3" t="s">
        <v>355</v>
      </c>
      <c r="I418" s="3" t="str">
        <f t="shared" si="6"/>
        <v>May</v>
      </c>
    </row>
    <row r="419" spans="1:9" x14ac:dyDescent="0.25">
      <c r="A419">
        <v>10405</v>
      </c>
      <c r="B419" t="s">
        <v>169</v>
      </c>
      <c r="C419" s="6">
        <v>42741</v>
      </c>
      <c r="D419" s="6">
        <v>42769</v>
      </c>
      <c r="E419" s="6">
        <v>42757</v>
      </c>
      <c r="F419" s="3" t="s">
        <v>644</v>
      </c>
      <c r="G419" s="11">
        <v>174.1</v>
      </c>
      <c r="H419" s="3" t="s">
        <v>356</v>
      </c>
      <c r="I419" s="3" t="str">
        <f t="shared" si="6"/>
        <v>Jan</v>
      </c>
    </row>
    <row r="420" spans="1:9" x14ac:dyDescent="0.25">
      <c r="A420">
        <v>10485</v>
      </c>
      <c r="B420" t="s">
        <v>169</v>
      </c>
      <c r="C420" s="6">
        <v>42819</v>
      </c>
      <c r="D420" s="6">
        <v>42833</v>
      </c>
      <c r="E420" s="6">
        <v>42825</v>
      </c>
      <c r="F420" s="3" t="s">
        <v>645</v>
      </c>
      <c r="G420" s="11">
        <v>322.25</v>
      </c>
      <c r="H420" s="3" t="s">
        <v>356</v>
      </c>
      <c r="I420" s="3" t="str">
        <f t="shared" si="6"/>
        <v>Mar</v>
      </c>
    </row>
    <row r="421" spans="1:9" x14ac:dyDescent="0.25">
      <c r="A421">
        <v>10638</v>
      </c>
      <c r="B421" t="s">
        <v>169</v>
      </c>
      <c r="C421" s="6">
        <v>42967</v>
      </c>
      <c r="D421" s="6">
        <v>42995</v>
      </c>
      <c r="E421" s="6">
        <v>42979</v>
      </c>
      <c r="F421" s="3" t="s">
        <v>644</v>
      </c>
      <c r="G421" s="11">
        <v>792.2</v>
      </c>
      <c r="H421" s="3" t="s">
        <v>356</v>
      </c>
      <c r="I421" s="3" t="str">
        <f t="shared" si="6"/>
        <v>Aug</v>
      </c>
    </row>
    <row r="422" spans="1:9" x14ac:dyDescent="0.25">
      <c r="A422">
        <v>10697</v>
      </c>
      <c r="B422" t="s">
        <v>169</v>
      </c>
      <c r="C422" s="6">
        <v>43016</v>
      </c>
      <c r="D422" s="6">
        <v>43044</v>
      </c>
      <c r="E422" s="6">
        <v>43022</v>
      </c>
      <c r="F422" s="3" t="s">
        <v>644</v>
      </c>
      <c r="G422" s="11">
        <v>227.60000000000002</v>
      </c>
      <c r="H422" s="3" t="s">
        <v>356</v>
      </c>
      <c r="I422" s="3" t="str">
        <f t="shared" si="6"/>
        <v>Oct</v>
      </c>
    </row>
    <row r="423" spans="1:9" x14ac:dyDescent="0.25">
      <c r="A423">
        <v>10729</v>
      </c>
      <c r="B423" t="s">
        <v>169</v>
      </c>
      <c r="C423" s="6">
        <v>43043</v>
      </c>
      <c r="D423" s="6">
        <v>43085</v>
      </c>
      <c r="E423" s="6">
        <v>43053</v>
      </c>
      <c r="F423" s="3" t="s">
        <v>646</v>
      </c>
      <c r="G423" s="11">
        <v>705.3</v>
      </c>
      <c r="H423" s="3" t="s">
        <v>356</v>
      </c>
      <c r="I423" s="3" t="str">
        <f t="shared" si="6"/>
        <v>Nov</v>
      </c>
    </row>
    <row r="424" spans="1:9" x14ac:dyDescent="0.25">
      <c r="A424">
        <v>10811</v>
      </c>
      <c r="B424" t="s">
        <v>169</v>
      </c>
      <c r="C424" s="6">
        <v>43102</v>
      </c>
      <c r="D424" s="6">
        <v>43130</v>
      </c>
      <c r="E424" s="6">
        <v>43108</v>
      </c>
      <c r="F424" s="3" t="s">
        <v>644</v>
      </c>
      <c r="G424" s="11">
        <v>156.1</v>
      </c>
      <c r="H424" s="3" t="s">
        <v>356</v>
      </c>
      <c r="I424" s="3" t="str">
        <f t="shared" si="6"/>
        <v>Jan</v>
      </c>
    </row>
    <row r="425" spans="1:9" x14ac:dyDescent="0.25">
      <c r="A425">
        <v>10838</v>
      </c>
      <c r="B425" t="s">
        <v>169</v>
      </c>
      <c r="C425" s="6">
        <v>43119</v>
      </c>
      <c r="D425" s="6">
        <v>43147</v>
      </c>
      <c r="E425" s="6">
        <v>43123</v>
      </c>
      <c r="F425" s="3" t="s">
        <v>646</v>
      </c>
      <c r="G425" s="11">
        <v>296.39999999999998</v>
      </c>
      <c r="H425" s="3" t="s">
        <v>356</v>
      </c>
      <c r="I425" s="3" t="str">
        <f t="shared" si="6"/>
        <v>Jan</v>
      </c>
    </row>
    <row r="426" spans="1:9" x14ac:dyDescent="0.25">
      <c r="A426">
        <v>10840</v>
      </c>
      <c r="B426" t="s">
        <v>169</v>
      </c>
      <c r="C426" s="6">
        <v>43119</v>
      </c>
      <c r="D426" s="6">
        <v>43161</v>
      </c>
      <c r="E426" s="6">
        <v>43147</v>
      </c>
      <c r="F426" s="3" t="s">
        <v>645</v>
      </c>
      <c r="G426" s="11">
        <v>13.55</v>
      </c>
      <c r="H426" s="3" t="s">
        <v>356</v>
      </c>
      <c r="I426" s="3" t="str">
        <f t="shared" si="6"/>
        <v>Jan</v>
      </c>
    </row>
    <row r="427" spans="1:9" x14ac:dyDescent="0.25">
      <c r="A427">
        <v>10919</v>
      </c>
      <c r="B427" t="s">
        <v>169</v>
      </c>
      <c r="C427" s="6">
        <v>43161</v>
      </c>
      <c r="D427" s="6">
        <v>43189</v>
      </c>
      <c r="E427" s="6">
        <v>43163</v>
      </c>
      <c r="F427" s="3" t="s">
        <v>645</v>
      </c>
      <c r="G427" s="11">
        <v>99</v>
      </c>
      <c r="H427" s="3" t="s">
        <v>356</v>
      </c>
      <c r="I427" s="3" t="str">
        <f t="shared" si="6"/>
        <v>Mar</v>
      </c>
    </row>
    <row r="428" spans="1:9" x14ac:dyDescent="0.25">
      <c r="A428">
        <v>10954</v>
      </c>
      <c r="B428" t="s">
        <v>169</v>
      </c>
      <c r="C428" s="6">
        <v>43176</v>
      </c>
      <c r="D428" s="6">
        <v>43218</v>
      </c>
      <c r="E428" s="6">
        <v>43179</v>
      </c>
      <c r="F428" s="3" t="s">
        <v>644</v>
      </c>
      <c r="G428" s="11">
        <v>139.55000000000001</v>
      </c>
      <c r="H428" s="3" t="s">
        <v>356</v>
      </c>
      <c r="I428" s="3" t="str">
        <f t="shared" si="6"/>
        <v>Mar</v>
      </c>
    </row>
    <row r="429" spans="1:9" x14ac:dyDescent="0.25">
      <c r="A429">
        <v>11014</v>
      </c>
      <c r="B429" t="s">
        <v>169</v>
      </c>
      <c r="C429" s="6">
        <v>43200</v>
      </c>
      <c r="D429" s="6">
        <v>43228</v>
      </c>
      <c r="E429" s="6">
        <v>43205</v>
      </c>
      <c r="F429" s="3" t="s">
        <v>646</v>
      </c>
      <c r="G429" s="11">
        <v>118</v>
      </c>
      <c r="H429" s="3" t="s">
        <v>356</v>
      </c>
      <c r="I429" s="3" t="str">
        <f t="shared" si="6"/>
        <v>Apr</v>
      </c>
    </row>
    <row r="430" spans="1:9" x14ac:dyDescent="0.25">
      <c r="A430">
        <v>11039</v>
      </c>
      <c r="B430" t="s">
        <v>169</v>
      </c>
      <c r="C430" s="6">
        <v>43211</v>
      </c>
      <c r="D430" s="6">
        <v>43239</v>
      </c>
      <c r="E430" s="6"/>
      <c r="F430" s="3" t="s">
        <v>645</v>
      </c>
      <c r="G430" s="11">
        <v>325</v>
      </c>
      <c r="H430" s="3" t="s">
        <v>356</v>
      </c>
      <c r="I430" s="3" t="str">
        <f t="shared" si="6"/>
        <v>Apr</v>
      </c>
    </row>
    <row r="431" spans="1:9" x14ac:dyDescent="0.25">
      <c r="A431">
        <v>10307</v>
      </c>
      <c r="B431" t="s">
        <v>172</v>
      </c>
      <c r="C431" s="6">
        <v>42630</v>
      </c>
      <c r="D431" s="6">
        <v>42658</v>
      </c>
      <c r="E431" s="6">
        <v>42638</v>
      </c>
      <c r="F431" s="3" t="s">
        <v>645</v>
      </c>
      <c r="G431" s="11">
        <v>2.8000000000000003</v>
      </c>
      <c r="H431" s="3" t="s">
        <v>357</v>
      </c>
      <c r="I431" s="3" t="str">
        <f t="shared" si="6"/>
        <v>Sep</v>
      </c>
    </row>
    <row r="432" spans="1:9" x14ac:dyDescent="0.25">
      <c r="A432">
        <v>10317</v>
      </c>
      <c r="B432" t="s">
        <v>172</v>
      </c>
      <c r="C432" s="6">
        <v>42643</v>
      </c>
      <c r="D432" s="6">
        <v>42671</v>
      </c>
      <c r="E432" s="6">
        <v>42653</v>
      </c>
      <c r="F432" s="3" t="s">
        <v>644</v>
      </c>
      <c r="G432" s="11">
        <v>63.449999999999996</v>
      </c>
      <c r="H432" s="3" t="s">
        <v>357</v>
      </c>
      <c r="I432" s="3" t="str">
        <f t="shared" si="6"/>
        <v>Sep</v>
      </c>
    </row>
    <row r="433" spans="1:9" x14ac:dyDescent="0.25">
      <c r="A433">
        <v>10544</v>
      </c>
      <c r="B433" t="s">
        <v>172</v>
      </c>
      <c r="C433" s="6">
        <v>42876</v>
      </c>
      <c r="D433" s="6">
        <v>42904</v>
      </c>
      <c r="E433" s="6">
        <v>42885</v>
      </c>
      <c r="F433" s="3" t="s">
        <v>644</v>
      </c>
      <c r="G433" s="11">
        <v>124.55</v>
      </c>
      <c r="H433" s="3" t="s">
        <v>357</v>
      </c>
      <c r="I433" s="3" t="str">
        <f t="shared" si="6"/>
        <v>May</v>
      </c>
    </row>
    <row r="434" spans="1:9" x14ac:dyDescent="0.25">
      <c r="A434">
        <v>10662</v>
      </c>
      <c r="B434" t="s">
        <v>172</v>
      </c>
      <c r="C434" s="6">
        <v>42987</v>
      </c>
      <c r="D434" s="6">
        <v>43015</v>
      </c>
      <c r="E434" s="6">
        <v>42996</v>
      </c>
      <c r="F434" s="3" t="s">
        <v>645</v>
      </c>
      <c r="G434" s="11">
        <v>6.4</v>
      </c>
      <c r="H434" s="3" t="s">
        <v>357</v>
      </c>
      <c r="I434" s="3" t="str">
        <f t="shared" si="6"/>
        <v>Sep</v>
      </c>
    </row>
    <row r="435" spans="1:9" x14ac:dyDescent="0.25">
      <c r="A435">
        <v>10665</v>
      </c>
      <c r="B435" t="s">
        <v>172</v>
      </c>
      <c r="C435" s="6">
        <v>42989</v>
      </c>
      <c r="D435" s="6">
        <v>43017</v>
      </c>
      <c r="E435" s="6">
        <v>42995</v>
      </c>
      <c r="F435" s="3" t="s">
        <v>645</v>
      </c>
      <c r="G435" s="11">
        <v>131.54999999999998</v>
      </c>
      <c r="H435" s="3" t="s">
        <v>357</v>
      </c>
      <c r="I435" s="3" t="str">
        <f t="shared" si="6"/>
        <v>Sep</v>
      </c>
    </row>
    <row r="436" spans="1:9" x14ac:dyDescent="0.25">
      <c r="A436">
        <v>10867</v>
      </c>
      <c r="B436" t="s">
        <v>172</v>
      </c>
      <c r="C436" s="6">
        <v>43134</v>
      </c>
      <c r="D436" s="6">
        <v>43176</v>
      </c>
      <c r="E436" s="6">
        <v>43142</v>
      </c>
      <c r="F436" s="3" t="s">
        <v>644</v>
      </c>
      <c r="G436" s="11">
        <v>9.65</v>
      </c>
      <c r="H436" s="3" t="s">
        <v>357</v>
      </c>
      <c r="I436" s="3" t="str">
        <f t="shared" si="6"/>
        <v>Feb</v>
      </c>
    </row>
    <row r="437" spans="1:9" x14ac:dyDescent="0.25">
      <c r="A437">
        <v>10883</v>
      </c>
      <c r="B437" t="s">
        <v>172</v>
      </c>
      <c r="C437" s="6">
        <v>43143</v>
      </c>
      <c r="D437" s="6">
        <v>43171</v>
      </c>
      <c r="E437" s="6">
        <v>43151</v>
      </c>
      <c r="F437" s="3" t="s">
        <v>646</v>
      </c>
      <c r="G437" s="11">
        <v>2.6500000000000004</v>
      </c>
      <c r="H437" s="3" t="s">
        <v>357</v>
      </c>
      <c r="I437" s="3" t="str">
        <f t="shared" si="6"/>
        <v>Feb</v>
      </c>
    </row>
    <row r="438" spans="1:9" x14ac:dyDescent="0.25">
      <c r="A438">
        <v>11018</v>
      </c>
      <c r="B438" t="s">
        <v>172</v>
      </c>
      <c r="C438" s="6">
        <v>43203</v>
      </c>
      <c r="D438" s="6">
        <v>43231</v>
      </c>
      <c r="E438" s="6">
        <v>43206</v>
      </c>
      <c r="F438" s="3" t="s">
        <v>645</v>
      </c>
      <c r="G438" s="11">
        <v>58.25</v>
      </c>
      <c r="H438" s="3" t="s">
        <v>357</v>
      </c>
      <c r="I438" s="3" t="str">
        <f t="shared" si="6"/>
        <v>Apr</v>
      </c>
    </row>
    <row r="439" spans="1:9" x14ac:dyDescent="0.25">
      <c r="A439">
        <v>10275</v>
      </c>
      <c r="B439" t="s">
        <v>175</v>
      </c>
      <c r="C439" s="6">
        <v>42589</v>
      </c>
      <c r="D439" s="6">
        <v>42617</v>
      </c>
      <c r="E439" s="6">
        <v>42591</v>
      </c>
      <c r="F439" s="3" t="s">
        <v>644</v>
      </c>
      <c r="G439" s="11">
        <v>134.65</v>
      </c>
      <c r="H439" s="3" t="s">
        <v>358</v>
      </c>
      <c r="I439" s="3" t="str">
        <f t="shared" si="6"/>
        <v>Aug</v>
      </c>
    </row>
    <row r="440" spans="1:9" x14ac:dyDescent="0.25">
      <c r="A440">
        <v>10300</v>
      </c>
      <c r="B440" t="s">
        <v>175</v>
      </c>
      <c r="C440" s="6">
        <v>42622</v>
      </c>
      <c r="D440" s="6">
        <v>42650</v>
      </c>
      <c r="E440" s="6">
        <v>42631</v>
      </c>
      <c r="F440" s="3" t="s">
        <v>645</v>
      </c>
      <c r="G440" s="11">
        <v>88.4</v>
      </c>
      <c r="H440" s="3" t="s">
        <v>358</v>
      </c>
      <c r="I440" s="3" t="str">
        <f t="shared" si="6"/>
        <v>Sep</v>
      </c>
    </row>
    <row r="441" spans="1:9" x14ac:dyDescent="0.25">
      <c r="A441">
        <v>10404</v>
      </c>
      <c r="B441" t="s">
        <v>175</v>
      </c>
      <c r="C441" s="6">
        <v>42738</v>
      </c>
      <c r="D441" s="6">
        <v>42766</v>
      </c>
      <c r="E441" s="6">
        <v>42743</v>
      </c>
      <c r="F441" s="3" t="s">
        <v>644</v>
      </c>
      <c r="G441" s="11">
        <v>779.85</v>
      </c>
      <c r="H441" s="3" t="s">
        <v>358</v>
      </c>
      <c r="I441" s="3" t="str">
        <f t="shared" si="6"/>
        <v>Jan</v>
      </c>
    </row>
    <row r="442" spans="1:9" x14ac:dyDescent="0.25">
      <c r="A442">
        <v>10467</v>
      </c>
      <c r="B442" t="s">
        <v>175</v>
      </c>
      <c r="C442" s="6">
        <v>42800</v>
      </c>
      <c r="D442" s="6">
        <v>42828</v>
      </c>
      <c r="E442" s="6">
        <v>42805</v>
      </c>
      <c r="F442" s="3" t="s">
        <v>645</v>
      </c>
      <c r="G442" s="11">
        <v>24.65</v>
      </c>
      <c r="H442" s="3" t="s">
        <v>358</v>
      </c>
      <c r="I442" s="3" t="str">
        <f t="shared" si="6"/>
        <v>Mar</v>
      </c>
    </row>
    <row r="443" spans="1:9" x14ac:dyDescent="0.25">
      <c r="A443">
        <v>10635</v>
      </c>
      <c r="B443" t="s">
        <v>175</v>
      </c>
      <c r="C443" s="6">
        <v>42965</v>
      </c>
      <c r="D443" s="6">
        <v>42993</v>
      </c>
      <c r="E443" s="6">
        <v>42968</v>
      </c>
      <c r="F443" s="3" t="s">
        <v>646</v>
      </c>
      <c r="G443" s="11">
        <v>237.3</v>
      </c>
      <c r="H443" s="3" t="s">
        <v>358</v>
      </c>
      <c r="I443" s="3" t="str">
        <f t="shared" si="6"/>
        <v>Aug</v>
      </c>
    </row>
    <row r="444" spans="1:9" x14ac:dyDescent="0.25">
      <c r="A444">
        <v>10754</v>
      </c>
      <c r="B444" t="s">
        <v>175</v>
      </c>
      <c r="C444" s="6">
        <v>43064</v>
      </c>
      <c r="D444" s="6">
        <v>43092</v>
      </c>
      <c r="E444" s="6">
        <v>43066</v>
      </c>
      <c r="F444" s="3" t="s">
        <v>646</v>
      </c>
      <c r="G444" s="11">
        <v>11.899999999999999</v>
      </c>
      <c r="H444" s="3" t="s">
        <v>358</v>
      </c>
      <c r="I444" s="3" t="str">
        <f t="shared" si="6"/>
        <v>Nov</v>
      </c>
    </row>
    <row r="445" spans="1:9" x14ac:dyDescent="0.25">
      <c r="A445">
        <v>10784</v>
      </c>
      <c r="B445" t="s">
        <v>175</v>
      </c>
      <c r="C445" s="6">
        <v>43087</v>
      </c>
      <c r="D445" s="6">
        <v>43115</v>
      </c>
      <c r="E445" s="6">
        <v>43091</v>
      </c>
      <c r="F445" s="3" t="s">
        <v>646</v>
      </c>
      <c r="G445" s="11">
        <v>350.45000000000005</v>
      </c>
      <c r="H445" s="3" t="s">
        <v>358</v>
      </c>
      <c r="I445" s="3" t="str">
        <f t="shared" si="6"/>
        <v>Dec</v>
      </c>
    </row>
    <row r="446" spans="1:9" x14ac:dyDescent="0.25">
      <c r="A446">
        <v>10818</v>
      </c>
      <c r="B446" t="s">
        <v>175</v>
      </c>
      <c r="C446" s="6">
        <v>43107</v>
      </c>
      <c r="D446" s="6">
        <v>43135</v>
      </c>
      <c r="E446" s="6">
        <v>43112</v>
      </c>
      <c r="F446" s="3" t="s">
        <v>646</v>
      </c>
      <c r="G446" s="11">
        <v>327.40000000000003</v>
      </c>
      <c r="H446" s="3" t="s">
        <v>358</v>
      </c>
      <c r="I446" s="3" t="str">
        <f t="shared" si="6"/>
        <v>Jan</v>
      </c>
    </row>
    <row r="447" spans="1:9" x14ac:dyDescent="0.25">
      <c r="A447">
        <v>10939</v>
      </c>
      <c r="B447" t="s">
        <v>175</v>
      </c>
      <c r="C447" s="6">
        <v>43169</v>
      </c>
      <c r="D447" s="6">
        <v>43197</v>
      </c>
      <c r="E447" s="6">
        <v>43172</v>
      </c>
      <c r="F447" s="3" t="s">
        <v>645</v>
      </c>
      <c r="G447" s="11">
        <v>381.65</v>
      </c>
      <c r="H447" s="3" t="s">
        <v>358</v>
      </c>
      <c r="I447" s="3" t="str">
        <f t="shared" si="6"/>
        <v>Mar</v>
      </c>
    </row>
    <row r="448" spans="1:9" x14ac:dyDescent="0.25">
      <c r="A448">
        <v>10950</v>
      </c>
      <c r="B448" t="s">
        <v>175</v>
      </c>
      <c r="C448" s="6">
        <v>43175</v>
      </c>
      <c r="D448" s="6">
        <v>43203</v>
      </c>
      <c r="E448" s="6">
        <v>43182</v>
      </c>
      <c r="F448" s="3" t="s">
        <v>645</v>
      </c>
      <c r="G448" s="11">
        <v>12.5</v>
      </c>
      <c r="H448" s="3" t="s">
        <v>358</v>
      </c>
      <c r="I448" s="3" t="str">
        <f t="shared" si="6"/>
        <v>Mar</v>
      </c>
    </row>
    <row r="449" spans="1:9" x14ac:dyDescent="0.25">
      <c r="A449">
        <v>10529</v>
      </c>
      <c r="B449" t="s">
        <v>178</v>
      </c>
      <c r="C449" s="6">
        <v>42862</v>
      </c>
      <c r="D449" s="6">
        <v>42890</v>
      </c>
      <c r="E449" s="6">
        <v>42864</v>
      </c>
      <c r="F449" s="3" t="s">
        <v>645</v>
      </c>
      <c r="G449" s="11">
        <v>333.45</v>
      </c>
      <c r="H449" s="3" t="s">
        <v>12</v>
      </c>
      <c r="I449" s="3" t="str">
        <f t="shared" si="6"/>
        <v>May</v>
      </c>
    </row>
    <row r="450" spans="1:9" x14ac:dyDescent="0.25">
      <c r="A450">
        <v>10649</v>
      </c>
      <c r="B450" t="s">
        <v>178</v>
      </c>
      <c r="C450" s="6">
        <v>42975</v>
      </c>
      <c r="D450" s="6">
        <v>43003</v>
      </c>
      <c r="E450" s="6">
        <v>42976</v>
      </c>
      <c r="F450" s="3" t="s">
        <v>646</v>
      </c>
      <c r="G450" s="11">
        <v>31</v>
      </c>
      <c r="H450" s="3" t="s">
        <v>12</v>
      </c>
      <c r="I450" s="3" t="str">
        <f t="shared" si="6"/>
        <v>Aug</v>
      </c>
    </row>
    <row r="451" spans="1:9" x14ac:dyDescent="0.25">
      <c r="A451">
        <v>10760</v>
      </c>
      <c r="B451" t="s">
        <v>178</v>
      </c>
      <c r="C451" s="6">
        <v>43070</v>
      </c>
      <c r="D451" s="6">
        <v>43098</v>
      </c>
      <c r="E451" s="6">
        <v>43079</v>
      </c>
      <c r="F451" s="3" t="s">
        <v>644</v>
      </c>
      <c r="G451" s="11">
        <v>778.19999999999993</v>
      </c>
      <c r="H451" s="3" t="s">
        <v>12</v>
      </c>
      <c r="I451" s="3" t="str">
        <f t="shared" ref="I451:I514" si="7">TEXT(C451,"mmm")</f>
        <v>Dec</v>
      </c>
    </row>
    <row r="452" spans="1:9" x14ac:dyDescent="0.25">
      <c r="A452">
        <v>10892</v>
      </c>
      <c r="B452" t="s">
        <v>178</v>
      </c>
      <c r="C452" s="6">
        <v>43148</v>
      </c>
      <c r="D452" s="6">
        <v>43176</v>
      </c>
      <c r="E452" s="6">
        <v>43150</v>
      </c>
      <c r="F452" s="3" t="s">
        <v>645</v>
      </c>
      <c r="G452" s="11">
        <v>601.35</v>
      </c>
      <c r="H452" s="3" t="s">
        <v>12</v>
      </c>
      <c r="I452" s="3" t="str">
        <f t="shared" si="7"/>
        <v>Feb</v>
      </c>
    </row>
    <row r="453" spans="1:9" x14ac:dyDescent="0.25">
      <c r="A453">
        <v>10896</v>
      </c>
      <c r="B453" t="s">
        <v>178</v>
      </c>
      <c r="C453" s="6">
        <v>43150</v>
      </c>
      <c r="D453" s="6">
        <v>43178</v>
      </c>
      <c r="E453" s="6">
        <v>43158</v>
      </c>
      <c r="F453" s="3" t="s">
        <v>646</v>
      </c>
      <c r="G453" s="11">
        <v>162.25</v>
      </c>
      <c r="H453" s="3" t="s">
        <v>12</v>
      </c>
      <c r="I453" s="3" t="str">
        <f t="shared" si="7"/>
        <v>Feb</v>
      </c>
    </row>
    <row r="454" spans="1:9" x14ac:dyDescent="0.25">
      <c r="A454">
        <v>10978</v>
      </c>
      <c r="B454" t="s">
        <v>178</v>
      </c>
      <c r="C454" s="6">
        <v>43185</v>
      </c>
      <c r="D454" s="6">
        <v>43213</v>
      </c>
      <c r="E454" s="6">
        <v>43213</v>
      </c>
      <c r="F454" s="3" t="s">
        <v>645</v>
      </c>
      <c r="G454" s="11">
        <v>164.1</v>
      </c>
      <c r="H454" s="3" t="s">
        <v>12</v>
      </c>
      <c r="I454" s="3" t="str">
        <f t="shared" si="7"/>
        <v>Mar</v>
      </c>
    </row>
    <row r="455" spans="1:9" x14ac:dyDescent="0.25">
      <c r="A455">
        <v>11004</v>
      </c>
      <c r="B455" t="s">
        <v>178</v>
      </c>
      <c r="C455" s="6">
        <v>43197</v>
      </c>
      <c r="D455" s="6">
        <v>43225</v>
      </c>
      <c r="E455" s="6">
        <v>43210</v>
      </c>
      <c r="F455" s="3" t="s">
        <v>644</v>
      </c>
      <c r="G455" s="11">
        <v>224.20000000000002</v>
      </c>
      <c r="H455" s="3" t="s">
        <v>12</v>
      </c>
      <c r="I455" s="3" t="str">
        <f t="shared" si="7"/>
        <v>Apr</v>
      </c>
    </row>
    <row r="456" spans="1:9" x14ac:dyDescent="0.25">
      <c r="A456">
        <v>10332</v>
      </c>
      <c r="B456" t="s">
        <v>181</v>
      </c>
      <c r="C456" s="6">
        <v>42660</v>
      </c>
      <c r="D456" s="6">
        <v>42702</v>
      </c>
      <c r="E456" s="6">
        <v>42664</v>
      </c>
      <c r="F456" s="3" t="s">
        <v>645</v>
      </c>
      <c r="G456" s="11">
        <v>264.20000000000005</v>
      </c>
      <c r="H456" s="3" t="s">
        <v>359</v>
      </c>
      <c r="I456" s="3" t="str">
        <f t="shared" si="7"/>
        <v>Oct</v>
      </c>
    </row>
    <row r="457" spans="1:9" x14ac:dyDescent="0.25">
      <c r="A457">
        <v>10339</v>
      </c>
      <c r="B457" t="s">
        <v>181</v>
      </c>
      <c r="C457" s="6">
        <v>42671</v>
      </c>
      <c r="D457" s="6">
        <v>42699</v>
      </c>
      <c r="E457" s="6">
        <v>42678</v>
      </c>
      <c r="F457" s="3" t="s">
        <v>645</v>
      </c>
      <c r="G457" s="11">
        <v>78.3</v>
      </c>
      <c r="H457" s="3" t="s">
        <v>359</v>
      </c>
      <c r="I457" s="3" t="str">
        <f t="shared" si="7"/>
        <v>Oct</v>
      </c>
    </row>
    <row r="458" spans="1:9" x14ac:dyDescent="0.25">
      <c r="A458">
        <v>10376</v>
      </c>
      <c r="B458" t="s">
        <v>181</v>
      </c>
      <c r="C458" s="6">
        <v>42713</v>
      </c>
      <c r="D458" s="6">
        <v>42741</v>
      </c>
      <c r="E458" s="6">
        <v>42717</v>
      </c>
      <c r="F458" s="3" t="s">
        <v>645</v>
      </c>
      <c r="G458" s="11">
        <v>101.95</v>
      </c>
      <c r="H458" s="3" t="s">
        <v>359</v>
      </c>
      <c r="I458" s="3" t="str">
        <f t="shared" si="7"/>
        <v>Dec</v>
      </c>
    </row>
    <row r="459" spans="1:9" x14ac:dyDescent="0.25">
      <c r="A459">
        <v>10424</v>
      </c>
      <c r="B459" t="s">
        <v>181</v>
      </c>
      <c r="C459" s="6">
        <v>42758</v>
      </c>
      <c r="D459" s="6">
        <v>42786</v>
      </c>
      <c r="E459" s="6">
        <v>42762</v>
      </c>
      <c r="F459" s="3" t="s">
        <v>645</v>
      </c>
      <c r="G459" s="11">
        <v>1853.0500000000002</v>
      </c>
      <c r="H459" s="3" t="s">
        <v>359</v>
      </c>
      <c r="I459" s="3" t="str">
        <f t="shared" si="7"/>
        <v>Jan</v>
      </c>
    </row>
    <row r="460" spans="1:9" x14ac:dyDescent="0.25">
      <c r="A460">
        <v>10439</v>
      </c>
      <c r="B460" t="s">
        <v>181</v>
      </c>
      <c r="C460" s="6">
        <v>42773</v>
      </c>
      <c r="D460" s="6">
        <v>42801</v>
      </c>
      <c r="E460" s="6">
        <v>42776</v>
      </c>
      <c r="F460" s="3" t="s">
        <v>646</v>
      </c>
      <c r="G460" s="11">
        <v>20.350000000000001</v>
      </c>
      <c r="H460" s="3" t="s">
        <v>359</v>
      </c>
      <c r="I460" s="3" t="str">
        <f t="shared" si="7"/>
        <v>Feb</v>
      </c>
    </row>
    <row r="461" spans="1:9" x14ac:dyDescent="0.25">
      <c r="A461">
        <v>10505</v>
      </c>
      <c r="B461" t="s">
        <v>181</v>
      </c>
      <c r="C461" s="6">
        <v>42839</v>
      </c>
      <c r="D461" s="6">
        <v>42867</v>
      </c>
      <c r="E461" s="6">
        <v>42846</v>
      </c>
      <c r="F461" s="3" t="s">
        <v>646</v>
      </c>
      <c r="G461" s="11">
        <v>35.65</v>
      </c>
      <c r="H461" s="3" t="s">
        <v>359</v>
      </c>
      <c r="I461" s="3" t="str">
        <f t="shared" si="7"/>
        <v>Apr</v>
      </c>
    </row>
    <row r="462" spans="1:9" x14ac:dyDescent="0.25">
      <c r="A462">
        <v>10565</v>
      </c>
      <c r="B462" t="s">
        <v>181</v>
      </c>
      <c r="C462" s="6">
        <v>42897</v>
      </c>
      <c r="D462" s="6">
        <v>42925</v>
      </c>
      <c r="E462" s="6">
        <v>42904</v>
      </c>
      <c r="F462" s="3" t="s">
        <v>645</v>
      </c>
      <c r="G462" s="11">
        <v>35.75</v>
      </c>
      <c r="H462" s="3" t="s">
        <v>359</v>
      </c>
      <c r="I462" s="3" t="str">
        <f t="shared" si="7"/>
        <v>Jun</v>
      </c>
    </row>
    <row r="463" spans="1:9" x14ac:dyDescent="0.25">
      <c r="A463">
        <v>10570</v>
      </c>
      <c r="B463" t="s">
        <v>181</v>
      </c>
      <c r="C463" s="6">
        <v>42903</v>
      </c>
      <c r="D463" s="6">
        <v>42931</v>
      </c>
      <c r="E463" s="6">
        <v>42905</v>
      </c>
      <c r="F463" s="3" t="s">
        <v>646</v>
      </c>
      <c r="G463" s="11">
        <v>944.95</v>
      </c>
      <c r="H463" s="3" t="s">
        <v>359</v>
      </c>
      <c r="I463" s="3" t="str">
        <f t="shared" si="7"/>
        <v>Jun</v>
      </c>
    </row>
    <row r="464" spans="1:9" x14ac:dyDescent="0.25">
      <c r="A464">
        <v>10590</v>
      </c>
      <c r="B464" t="s">
        <v>181</v>
      </c>
      <c r="C464" s="6">
        <v>42923</v>
      </c>
      <c r="D464" s="6">
        <v>42951</v>
      </c>
      <c r="E464" s="6">
        <v>42930</v>
      </c>
      <c r="F464" s="3" t="s">
        <v>646</v>
      </c>
      <c r="G464" s="11">
        <v>223.85000000000002</v>
      </c>
      <c r="H464" s="3" t="s">
        <v>359</v>
      </c>
      <c r="I464" s="3" t="str">
        <f t="shared" si="7"/>
        <v>Jul</v>
      </c>
    </row>
    <row r="465" spans="1:9" x14ac:dyDescent="0.25">
      <c r="A465">
        <v>10605</v>
      </c>
      <c r="B465" t="s">
        <v>181</v>
      </c>
      <c r="C465" s="6">
        <v>42937</v>
      </c>
      <c r="D465" s="6">
        <v>42965</v>
      </c>
      <c r="E465" s="6">
        <v>42945</v>
      </c>
      <c r="F465" s="3" t="s">
        <v>645</v>
      </c>
      <c r="G465" s="11">
        <v>1895.65</v>
      </c>
      <c r="H465" s="3" t="s">
        <v>359</v>
      </c>
      <c r="I465" s="3" t="str">
        <f t="shared" si="7"/>
        <v>Jul</v>
      </c>
    </row>
    <row r="466" spans="1:9" x14ac:dyDescent="0.25">
      <c r="A466">
        <v>10618</v>
      </c>
      <c r="B466" t="s">
        <v>181</v>
      </c>
      <c r="C466" s="6">
        <v>42948</v>
      </c>
      <c r="D466" s="6">
        <v>42990</v>
      </c>
      <c r="E466" s="6">
        <v>42955</v>
      </c>
      <c r="F466" s="3" t="s">
        <v>644</v>
      </c>
      <c r="G466" s="11">
        <v>773.40000000000009</v>
      </c>
      <c r="H466" s="3" t="s">
        <v>359</v>
      </c>
      <c r="I466" s="3" t="str">
        <f t="shared" si="7"/>
        <v>Aug</v>
      </c>
    </row>
    <row r="467" spans="1:9" x14ac:dyDescent="0.25">
      <c r="A467">
        <v>10619</v>
      </c>
      <c r="B467" t="s">
        <v>181</v>
      </c>
      <c r="C467" s="6">
        <v>42951</v>
      </c>
      <c r="D467" s="6">
        <v>42979</v>
      </c>
      <c r="E467" s="6">
        <v>42954</v>
      </c>
      <c r="F467" s="3" t="s">
        <v>646</v>
      </c>
      <c r="G467" s="11">
        <v>455.25</v>
      </c>
      <c r="H467" s="3" t="s">
        <v>359</v>
      </c>
      <c r="I467" s="3" t="str">
        <f t="shared" si="7"/>
        <v>Aug</v>
      </c>
    </row>
    <row r="468" spans="1:9" x14ac:dyDescent="0.25">
      <c r="A468">
        <v>10724</v>
      </c>
      <c r="B468" t="s">
        <v>181</v>
      </c>
      <c r="C468" s="6">
        <v>43038</v>
      </c>
      <c r="D468" s="6">
        <v>43080</v>
      </c>
      <c r="E468" s="6">
        <v>43044</v>
      </c>
      <c r="F468" s="3" t="s">
        <v>645</v>
      </c>
      <c r="G468" s="11">
        <v>288.75</v>
      </c>
      <c r="H468" s="3" t="s">
        <v>359</v>
      </c>
      <c r="I468" s="3" t="str">
        <f t="shared" si="7"/>
        <v>Oct</v>
      </c>
    </row>
    <row r="469" spans="1:9" x14ac:dyDescent="0.25">
      <c r="A469">
        <v>10277</v>
      </c>
      <c r="B469" t="s">
        <v>184</v>
      </c>
      <c r="C469" s="6">
        <v>42591</v>
      </c>
      <c r="D469" s="6">
        <v>42619</v>
      </c>
      <c r="E469" s="6">
        <v>42595</v>
      </c>
      <c r="F469" s="3" t="s">
        <v>646</v>
      </c>
      <c r="G469" s="11">
        <v>628.85</v>
      </c>
      <c r="H469" s="3" t="s">
        <v>360</v>
      </c>
      <c r="I469" s="3" t="str">
        <f t="shared" si="7"/>
        <v>Aug</v>
      </c>
    </row>
    <row r="470" spans="1:9" x14ac:dyDescent="0.25">
      <c r="A470">
        <v>10575</v>
      </c>
      <c r="B470" t="s">
        <v>184</v>
      </c>
      <c r="C470" s="6">
        <v>42906</v>
      </c>
      <c r="D470" s="6">
        <v>42920</v>
      </c>
      <c r="E470" s="6">
        <v>42916</v>
      </c>
      <c r="F470" s="3" t="s">
        <v>644</v>
      </c>
      <c r="G470" s="11">
        <v>636.70000000000005</v>
      </c>
      <c r="H470" s="3" t="s">
        <v>360</v>
      </c>
      <c r="I470" s="3" t="str">
        <f t="shared" si="7"/>
        <v>Jun</v>
      </c>
    </row>
    <row r="471" spans="1:9" x14ac:dyDescent="0.25">
      <c r="A471">
        <v>10699</v>
      </c>
      <c r="B471" t="s">
        <v>184</v>
      </c>
      <c r="C471" s="6">
        <v>43017</v>
      </c>
      <c r="D471" s="6">
        <v>43045</v>
      </c>
      <c r="E471" s="6">
        <v>43021</v>
      </c>
      <c r="F471" s="3" t="s">
        <v>646</v>
      </c>
      <c r="G471" s="11">
        <v>2.9</v>
      </c>
      <c r="H471" s="3" t="s">
        <v>360</v>
      </c>
      <c r="I471" s="3" t="str">
        <f t="shared" si="7"/>
        <v>Oct</v>
      </c>
    </row>
    <row r="472" spans="1:9" x14ac:dyDescent="0.25">
      <c r="A472">
        <v>10779</v>
      </c>
      <c r="B472" t="s">
        <v>184</v>
      </c>
      <c r="C472" s="6">
        <v>43085</v>
      </c>
      <c r="D472" s="6">
        <v>43113</v>
      </c>
      <c r="E472" s="6">
        <v>43114</v>
      </c>
      <c r="F472" s="3" t="s">
        <v>645</v>
      </c>
      <c r="G472" s="11">
        <v>290.65000000000003</v>
      </c>
      <c r="H472" s="3" t="s">
        <v>360</v>
      </c>
      <c r="I472" s="3" t="str">
        <f t="shared" si="7"/>
        <v>Dec</v>
      </c>
    </row>
    <row r="473" spans="1:9" x14ac:dyDescent="0.25">
      <c r="A473">
        <v>10945</v>
      </c>
      <c r="B473" t="s">
        <v>184</v>
      </c>
      <c r="C473" s="6">
        <v>43171</v>
      </c>
      <c r="D473" s="6">
        <v>43199</v>
      </c>
      <c r="E473" s="6">
        <v>43177</v>
      </c>
      <c r="F473" s="3" t="s">
        <v>644</v>
      </c>
      <c r="G473" s="11">
        <v>51.1</v>
      </c>
      <c r="H473" s="3" t="s">
        <v>360</v>
      </c>
      <c r="I473" s="3" t="str">
        <f t="shared" si="7"/>
        <v>Mar</v>
      </c>
    </row>
    <row r="474" spans="1:9" x14ac:dyDescent="0.25">
      <c r="A474">
        <v>10517</v>
      </c>
      <c r="B474" t="s">
        <v>186</v>
      </c>
      <c r="C474" s="6">
        <v>42849</v>
      </c>
      <c r="D474" s="6">
        <v>42877</v>
      </c>
      <c r="E474" s="6">
        <v>42854</v>
      </c>
      <c r="F474" s="3" t="s">
        <v>646</v>
      </c>
      <c r="G474" s="11">
        <v>160.35</v>
      </c>
      <c r="H474" s="3" t="s">
        <v>361</v>
      </c>
      <c r="I474" s="3" t="str">
        <f t="shared" si="7"/>
        <v>Apr</v>
      </c>
    </row>
    <row r="475" spans="1:9" x14ac:dyDescent="0.25">
      <c r="A475">
        <v>10752</v>
      </c>
      <c r="B475" t="s">
        <v>186</v>
      </c>
      <c r="C475" s="6">
        <v>43063</v>
      </c>
      <c r="D475" s="6">
        <v>43091</v>
      </c>
      <c r="E475" s="6">
        <v>43067</v>
      </c>
      <c r="F475" s="3" t="s">
        <v>646</v>
      </c>
      <c r="G475" s="11">
        <v>6.9499999999999993</v>
      </c>
      <c r="H475" s="3" t="s">
        <v>361</v>
      </c>
      <c r="I475" s="3" t="str">
        <f t="shared" si="7"/>
        <v>Nov</v>
      </c>
    </row>
    <row r="476" spans="1:9" x14ac:dyDescent="0.25">
      <c r="A476">
        <v>11057</v>
      </c>
      <c r="B476" t="s">
        <v>186</v>
      </c>
      <c r="C476" s="6">
        <v>43219</v>
      </c>
      <c r="D476" s="6">
        <v>43247</v>
      </c>
      <c r="E476" s="6">
        <v>43221</v>
      </c>
      <c r="F476" s="3" t="s">
        <v>646</v>
      </c>
      <c r="G476" s="11">
        <v>20.65</v>
      </c>
      <c r="H476" s="3" t="s">
        <v>361</v>
      </c>
      <c r="I476" s="3" t="str">
        <f t="shared" si="7"/>
        <v>Apr</v>
      </c>
    </row>
    <row r="477" spans="1:9" x14ac:dyDescent="0.25">
      <c r="A477">
        <v>10409</v>
      </c>
      <c r="B477" t="s">
        <v>189</v>
      </c>
      <c r="C477" s="6">
        <v>42744</v>
      </c>
      <c r="D477" s="6">
        <v>42772</v>
      </c>
      <c r="E477" s="6">
        <v>42749</v>
      </c>
      <c r="F477" s="3" t="s">
        <v>644</v>
      </c>
      <c r="G477" s="11">
        <v>149.14999999999998</v>
      </c>
      <c r="H477" s="3" t="s">
        <v>362</v>
      </c>
      <c r="I477" s="3" t="str">
        <f t="shared" si="7"/>
        <v>Jan</v>
      </c>
    </row>
    <row r="478" spans="1:9" x14ac:dyDescent="0.25">
      <c r="A478">
        <v>10531</v>
      </c>
      <c r="B478" t="s">
        <v>189</v>
      </c>
      <c r="C478" s="6">
        <v>42863</v>
      </c>
      <c r="D478" s="6">
        <v>42891</v>
      </c>
      <c r="E478" s="6">
        <v>42874</v>
      </c>
      <c r="F478" s="3" t="s">
        <v>644</v>
      </c>
      <c r="G478" s="11">
        <v>40.599999999999994</v>
      </c>
      <c r="H478" s="3" t="s">
        <v>362</v>
      </c>
      <c r="I478" s="3" t="str">
        <f t="shared" si="7"/>
        <v>May</v>
      </c>
    </row>
    <row r="479" spans="1:9" x14ac:dyDescent="0.25">
      <c r="A479">
        <v>10898</v>
      </c>
      <c r="B479" t="s">
        <v>189</v>
      </c>
      <c r="C479" s="6">
        <v>43151</v>
      </c>
      <c r="D479" s="6">
        <v>43179</v>
      </c>
      <c r="E479" s="6">
        <v>43165</v>
      </c>
      <c r="F479" s="3" t="s">
        <v>645</v>
      </c>
      <c r="G479" s="11">
        <v>6.35</v>
      </c>
      <c r="H479" s="3" t="s">
        <v>362</v>
      </c>
      <c r="I479" s="3" t="str">
        <f t="shared" si="7"/>
        <v>Feb</v>
      </c>
    </row>
    <row r="480" spans="1:9" x14ac:dyDescent="0.25">
      <c r="A480">
        <v>10958</v>
      </c>
      <c r="B480" t="s">
        <v>189</v>
      </c>
      <c r="C480" s="6">
        <v>43177</v>
      </c>
      <c r="D480" s="6">
        <v>43205</v>
      </c>
      <c r="E480" s="6">
        <v>43186</v>
      </c>
      <c r="F480" s="3" t="s">
        <v>645</v>
      </c>
      <c r="G480" s="11">
        <v>247.8</v>
      </c>
      <c r="H480" s="3" t="s">
        <v>362</v>
      </c>
      <c r="I480" s="3" t="str">
        <f t="shared" si="7"/>
        <v>Mar</v>
      </c>
    </row>
    <row r="481" spans="1:9" x14ac:dyDescent="0.25">
      <c r="A481">
        <v>10986</v>
      </c>
      <c r="B481" t="s">
        <v>189</v>
      </c>
      <c r="C481" s="6">
        <v>43189</v>
      </c>
      <c r="D481" s="6">
        <v>43217</v>
      </c>
      <c r="E481" s="6">
        <v>43211</v>
      </c>
      <c r="F481" s="3" t="s">
        <v>645</v>
      </c>
      <c r="G481" s="11">
        <v>1089.3000000000002</v>
      </c>
      <c r="H481" s="3" t="s">
        <v>362</v>
      </c>
      <c r="I481" s="3" t="str">
        <f t="shared" si="7"/>
        <v>Mar</v>
      </c>
    </row>
    <row r="482" spans="1:9" x14ac:dyDescent="0.25">
      <c r="A482">
        <v>10260</v>
      </c>
      <c r="B482" t="s">
        <v>192</v>
      </c>
      <c r="C482" s="6">
        <v>42570</v>
      </c>
      <c r="D482" s="6">
        <v>42598</v>
      </c>
      <c r="E482" s="6">
        <v>42580</v>
      </c>
      <c r="F482" s="3" t="s">
        <v>644</v>
      </c>
      <c r="G482" s="11">
        <v>275.45000000000005</v>
      </c>
      <c r="H482" s="3" t="s">
        <v>363</v>
      </c>
      <c r="I482" s="3" t="str">
        <f t="shared" si="7"/>
        <v>Jul</v>
      </c>
    </row>
    <row r="483" spans="1:9" x14ac:dyDescent="0.25">
      <c r="A483">
        <v>10305</v>
      </c>
      <c r="B483" t="s">
        <v>192</v>
      </c>
      <c r="C483" s="6">
        <v>42626</v>
      </c>
      <c r="D483" s="6">
        <v>42654</v>
      </c>
      <c r="E483" s="6">
        <v>42652</v>
      </c>
      <c r="F483" s="3" t="s">
        <v>646</v>
      </c>
      <c r="G483" s="11">
        <v>1288.0999999999999</v>
      </c>
      <c r="H483" s="3" t="s">
        <v>363</v>
      </c>
      <c r="I483" s="3" t="str">
        <f t="shared" si="7"/>
        <v>Sep</v>
      </c>
    </row>
    <row r="484" spans="1:9" x14ac:dyDescent="0.25">
      <c r="A484">
        <v>10338</v>
      </c>
      <c r="B484" t="s">
        <v>192</v>
      </c>
      <c r="C484" s="6">
        <v>42668</v>
      </c>
      <c r="D484" s="6">
        <v>42696</v>
      </c>
      <c r="E484" s="6">
        <v>42672</v>
      </c>
      <c r="F484" s="3" t="s">
        <v>646</v>
      </c>
      <c r="G484" s="11">
        <v>421.04999999999995</v>
      </c>
      <c r="H484" s="3" t="s">
        <v>363</v>
      </c>
      <c r="I484" s="3" t="str">
        <f t="shared" si="7"/>
        <v>Oct</v>
      </c>
    </row>
    <row r="485" spans="1:9" x14ac:dyDescent="0.25">
      <c r="A485">
        <v>10441</v>
      </c>
      <c r="B485" t="s">
        <v>192</v>
      </c>
      <c r="C485" s="6">
        <v>42776</v>
      </c>
      <c r="D485" s="6">
        <v>42818</v>
      </c>
      <c r="E485" s="6">
        <v>42808</v>
      </c>
      <c r="F485" s="3" t="s">
        <v>645</v>
      </c>
      <c r="G485" s="11">
        <v>365.09999999999997</v>
      </c>
      <c r="H485" s="3" t="s">
        <v>363</v>
      </c>
      <c r="I485" s="3" t="str">
        <f t="shared" si="7"/>
        <v>Feb</v>
      </c>
    </row>
    <row r="486" spans="1:9" x14ac:dyDescent="0.25">
      <c r="A486">
        <v>10594</v>
      </c>
      <c r="B486" t="s">
        <v>192</v>
      </c>
      <c r="C486" s="6">
        <v>42925</v>
      </c>
      <c r="D486" s="6">
        <v>42953</v>
      </c>
      <c r="E486" s="6">
        <v>42932</v>
      </c>
      <c r="F486" s="3" t="s">
        <v>645</v>
      </c>
      <c r="G486" s="11">
        <v>26.200000000000003</v>
      </c>
      <c r="H486" s="3" t="s">
        <v>363</v>
      </c>
      <c r="I486" s="3" t="str">
        <f t="shared" si="7"/>
        <v>Jul</v>
      </c>
    </row>
    <row r="487" spans="1:9" x14ac:dyDescent="0.25">
      <c r="A487">
        <v>10680</v>
      </c>
      <c r="B487" t="s">
        <v>192</v>
      </c>
      <c r="C487" s="6">
        <v>43002</v>
      </c>
      <c r="D487" s="6">
        <v>43030</v>
      </c>
      <c r="E487" s="6">
        <v>43004</v>
      </c>
      <c r="F487" s="3" t="s">
        <v>644</v>
      </c>
      <c r="G487" s="11">
        <v>133.05000000000001</v>
      </c>
      <c r="H487" s="3" t="s">
        <v>363</v>
      </c>
      <c r="I487" s="3" t="str">
        <f t="shared" si="7"/>
        <v>Sep</v>
      </c>
    </row>
    <row r="488" spans="1:9" x14ac:dyDescent="0.25">
      <c r="A488">
        <v>10706</v>
      </c>
      <c r="B488" t="s">
        <v>192</v>
      </c>
      <c r="C488" s="6">
        <v>43024</v>
      </c>
      <c r="D488" s="6">
        <v>43052</v>
      </c>
      <c r="E488" s="6">
        <v>43029</v>
      </c>
      <c r="F488" s="3" t="s">
        <v>646</v>
      </c>
      <c r="G488" s="11">
        <v>678.15</v>
      </c>
      <c r="H488" s="3" t="s">
        <v>363</v>
      </c>
      <c r="I488" s="3" t="str">
        <f t="shared" si="7"/>
        <v>Oct</v>
      </c>
    </row>
    <row r="489" spans="1:9" x14ac:dyDescent="0.25">
      <c r="A489">
        <v>10855</v>
      </c>
      <c r="B489" t="s">
        <v>192</v>
      </c>
      <c r="C489" s="6">
        <v>43127</v>
      </c>
      <c r="D489" s="6">
        <v>43155</v>
      </c>
      <c r="E489" s="6">
        <v>43135</v>
      </c>
      <c r="F489" s="3" t="s">
        <v>644</v>
      </c>
      <c r="G489" s="11">
        <v>854.85</v>
      </c>
      <c r="H489" s="3" t="s">
        <v>363</v>
      </c>
      <c r="I489" s="3" t="str">
        <f t="shared" si="7"/>
        <v>Jan</v>
      </c>
    </row>
    <row r="490" spans="1:9" x14ac:dyDescent="0.25">
      <c r="A490">
        <v>10965</v>
      </c>
      <c r="B490" t="s">
        <v>192</v>
      </c>
      <c r="C490" s="6">
        <v>43179</v>
      </c>
      <c r="D490" s="6">
        <v>43207</v>
      </c>
      <c r="E490" s="6">
        <v>43189</v>
      </c>
      <c r="F490" s="3" t="s">
        <v>646</v>
      </c>
      <c r="G490" s="11">
        <v>721.9</v>
      </c>
      <c r="H490" s="3" t="s">
        <v>363</v>
      </c>
      <c r="I490" s="3" t="str">
        <f t="shared" si="7"/>
        <v>Mar</v>
      </c>
    </row>
    <row r="491" spans="1:9" x14ac:dyDescent="0.25">
      <c r="A491">
        <v>11034</v>
      </c>
      <c r="B491" t="s">
        <v>192</v>
      </c>
      <c r="C491" s="6">
        <v>43210</v>
      </c>
      <c r="D491" s="6">
        <v>43252</v>
      </c>
      <c r="E491" s="6">
        <v>43217</v>
      </c>
      <c r="F491" s="3" t="s">
        <v>644</v>
      </c>
      <c r="G491" s="11">
        <v>201.6</v>
      </c>
      <c r="H491" s="3" t="s">
        <v>363</v>
      </c>
      <c r="I491" s="3" t="str">
        <f t="shared" si="7"/>
        <v>Apr</v>
      </c>
    </row>
    <row r="492" spans="1:9" x14ac:dyDescent="0.25">
      <c r="A492">
        <v>10407</v>
      </c>
      <c r="B492" t="s">
        <v>196</v>
      </c>
      <c r="C492" s="6">
        <v>42742</v>
      </c>
      <c r="D492" s="6">
        <v>42770</v>
      </c>
      <c r="E492" s="6">
        <v>42765</v>
      </c>
      <c r="F492" s="3" t="s">
        <v>645</v>
      </c>
      <c r="G492" s="11">
        <v>457.40000000000003</v>
      </c>
      <c r="H492" s="3" t="s">
        <v>364</v>
      </c>
      <c r="I492" s="3" t="str">
        <f t="shared" si="7"/>
        <v>Jan</v>
      </c>
    </row>
    <row r="493" spans="1:9" x14ac:dyDescent="0.25">
      <c r="A493">
        <v>10508</v>
      </c>
      <c r="B493" t="s">
        <v>196</v>
      </c>
      <c r="C493" s="6">
        <v>42841</v>
      </c>
      <c r="D493" s="6">
        <v>42869</v>
      </c>
      <c r="E493" s="6">
        <v>42868</v>
      </c>
      <c r="F493" s="3" t="s">
        <v>645</v>
      </c>
      <c r="G493" s="11">
        <v>24.950000000000003</v>
      </c>
      <c r="H493" s="3" t="s">
        <v>364</v>
      </c>
      <c r="I493" s="3" t="str">
        <f t="shared" si="7"/>
        <v>Apr</v>
      </c>
    </row>
    <row r="494" spans="1:9" x14ac:dyDescent="0.25">
      <c r="A494">
        <v>10554</v>
      </c>
      <c r="B494" t="s">
        <v>196</v>
      </c>
      <c r="C494" s="6">
        <v>42885</v>
      </c>
      <c r="D494" s="6">
        <v>42913</v>
      </c>
      <c r="E494" s="6">
        <v>42891</v>
      </c>
      <c r="F494" s="3" t="s">
        <v>646</v>
      </c>
      <c r="G494" s="11">
        <v>604.85</v>
      </c>
      <c r="H494" s="3" t="s">
        <v>364</v>
      </c>
      <c r="I494" s="3" t="str">
        <f t="shared" si="7"/>
        <v>May</v>
      </c>
    </row>
    <row r="495" spans="1:9" x14ac:dyDescent="0.25">
      <c r="A495">
        <v>10580</v>
      </c>
      <c r="B495" t="s">
        <v>196</v>
      </c>
      <c r="C495" s="6">
        <v>42912</v>
      </c>
      <c r="D495" s="6">
        <v>42940</v>
      </c>
      <c r="E495" s="6">
        <v>42917</v>
      </c>
      <c r="F495" s="3" t="s">
        <v>646</v>
      </c>
      <c r="G495" s="11">
        <v>379.45</v>
      </c>
      <c r="H495" s="3" t="s">
        <v>364</v>
      </c>
      <c r="I495" s="3" t="str">
        <f t="shared" si="7"/>
        <v>Jun</v>
      </c>
    </row>
    <row r="496" spans="1:9" x14ac:dyDescent="0.25">
      <c r="A496">
        <v>10684</v>
      </c>
      <c r="B496" t="s">
        <v>196</v>
      </c>
      <c r="C496" s="6">
        <v>43004</v>
      </c>
      <c r="D496" s="6">
        <v>43032</v>
      </c>
      <c r="E496" s="6">
        <v>43008</v>
      </c>
      <c r="F496" s="3" t="s">
        <v>644</v>
      </c>
      <c r="G496" s="11">
        <v>728.15</v>
      </c>
      <c r="H496" s="3" t="s">
        <v>364</v>
      </c>
      <c r="I496" s="3" t="str">
        <f t="shared" si="7"/>
        <v>Sep</v>
      </c>
    </row>
    <row r="497" spans="1:9" x14ac:dyDescent="0.25">
      <c r="A497">
        <v>10766</v>
      </c>
      <c r="B497" t="s">
        <v>196</v>
      </c>
      <c r="C497" s="6">
        <v>43074</v>
      </c>
      <c r="D497" s="6">
        <v>43102</v>
      </c>
      <c r="E497" s="6">
        <v>43078</v>
      </c>
      <c r="F497" s="3" t="s">
        <v>644</v>
      </c>
      <c r="G497" s="11">
        <v>787.75</v>
      </c>
      <c r="H497" s="3" t="s">
        <v>364</v>
      </c>
      <c r="I497" s="3" t="str">
        <f t="shared" si="7"/>
        <v>Dec</v>
      </c>
    </row>
    <row r="498" spans="1:9" x14ac:dyDescent="0.25">
      <c r="A498">
        <v>10833</v>
      </c>
      <c r="B498" t="s">
        <v>196</v>
      </c>
      <c r="C498" s="6">
        <v>43115</v>
      </c>
      <c r="D498" s="6">
        <v>43143</v>
      </c>
      <c r="E498" s="6">
        <v>43123</v>
      </c>
      <c r="F498" s="3" t="s">
        <v>645</v>
      </c>
      <c r="G498" s="11">
        <v>357.45</v>
      </c>
      <c r="H498" s="3" t="s">
        <v>364</v>
      </c>
      <c r="I498" s="3" t="str">
        <f t="shared" si="7"/>
        <v>Jan</v>
      </c>
    </row>
    <row r="499" spans="1:9" x14ac:dyDescent="0.25">
      <c r="A499">
        <v>10999</v>
      </c>
      <c r="B499" t="s">
        <v>196</v>
      </c>
      <c r="C499" s="6">
        <v>43193</v>
      </c>
      <c r="D499" s="6">
        <v>43221</v>
      </c>
      <c r="E499" s="6">
        <v>43200</v>
      </c>
      <c r="F499" s="3" t="s">
        <v>645</v>
      </c>
      <c r="G499" s="11">
        <v>481.75</v>
      </c>
      <c r="H499" s="3" t="s">
        <v>364</v>
      </c>
      <c r="I499" s="3" t="str">
        <f t="shared" si="7"/>
        <v>Apr</v>
      </c>
    </row>
    <row r="500" spans="1:9" x14ac:dyDescent="0.25">
      <c r="A500">
        <v>11020</v>
      </c>
      <c r="B500" t="s">
        <v>196</v>
      </c>
      <c r="C500" s="6">
        <v>43204</v>
      </c>
      <c r="D500" s="6">
        <v>43232</v>
      </c>
      <c r="E500" s="6">
        <v>43206</v>
      </c>
      <c r="F500" s="3" t="s">
        <v>645</v>
      </c>
      <c r="G500" s="11">
        <v>216.5</v>
      </c>
      <c r="H500" s="3" t="s">
        <v>364</v>
      </c>
      <c r="I500" s="3" t="str">
        <f t="shared" si="7"/>
        <v>Apr</v>
      </c>
    </row>
    <row r="501" spans="1:9" x14ac:dyDescent="0.25">
      <c r="A501">
        <v>10322</v>
      </c>
      <c r="B501" t="s">
        <v>202</v>
      </c>
      <c r="C501" s="6">
        <v>42647</v>
      </c>
      <c r="D501" s="6">
        <v>42675</v>
      </c>
      <c r="E501" s="6">
        <v>42666</v>
      </c>
      <c r="F501" s="3" t="s">
        <v>646</v>
      </c>
      <c r="G501" s="11">
        <v>2</v>
      </c>
      <c r="H501" s="3" t="s">
        <v>11</v>
      </c>
      <c r="I501" s="3" t="str">
        <f t="shared" si="7"/>
        <v>Oct</v>
      </c>
    </row>
    <row r="502" spans="1:9" x14ac:dyDescent="0.25">
      <c r="A502">
        <v>10354</v>
      </c>
      <c r="B502" t="s">
        <v>202</v>
      </c>
      <c r="C502" s="6">
        <v>42688</v>
      </c>
      <c r="D502" s="6">
        <v>42716</v>
      </c>
      <c r="E502" s="6">
        <v>42694</v>
      </c>
      <c r="F502" s="3" t="s">
        <v>646</v>
      </c>
      <c r="G502" s="11">
        <v>269</v>
      </c>
      <c r="H502" s="3" t="s">
        <v>11</v>
      </c>
      <c r="I502" s="3" t="str">
        <f t="shared" si="7"/>
        <v>Nov</v>
      </c>
    </row>
    <row r="503" spans="1:9" x14ac:dyDescent="0.25">
      <c r="A503">
        <v>10474</v>
      </c>
      <c r="B503" t="s">
        <v>202</v>
      </c>
      <c r="C503" s="6">
        <v>42807</v>
      </c>
      <c r="D503" s="6">
        <v>42835</v>
      </c>
      <c r="E503" s="6">
        <v>42815</v>
      </c>
      <c r="F503" s="3" t="s">
        <v>645</v>
      </c>
      <c r="G503" s="11">
        <v>417.45</v>
      </c>
      <c r="H503" s="3" t="s">
        <v>11</v>
      </c>
      <c r="I503" s="3" t="str">
        <f t="shared" si="7"/>
        <v>Mar</v>
      </c>
    </row>
    <row r="504" spans="1:9" x14ac:dyDescent="0.25">
      <c r="A504">
        <v>10502</v>
      </c>
      <c r="B504" t="s">
        <v>202</v>
      </c>
      <c r="C504" s="6">
        <v>42835</v>
      </c>
      <c r="D504" s="6">
        <v>42863</v>
      </c>
      <c r="E504" s="6">
        <v>42854</v>
      </c>
      <c r="F504" s="3" t="s">
        <v>644</v>
      </c>
      <c r="G504" s="11">
        <v>346.59999999999997</v>
      </c>
      <c r="H504" s="3" t="s">
        <v>11</v>
      </c>
      <c r="I504" s="3" t="str">
        <f t="shared" si="7"/>
        <v>Apr</v>
      </c>
    </row>
    <row r="505" spans="1:9" x14ac:dyDescent="0.25">
      <c r="A505">
        <v>10995</v>
      </c>
      <c r="B505" t="s">
        <v>202</v>
      </c>
      <c r="C505" s="6">
        <v>43192</v>
      </c>
      <c r="D505" s="6">
        <v>43220</v>
      </c>
      <c r="E505" s="6">
        <v>43196</v>
      </c>
      <c r="F505" s="3" t="s">
        <v>646</v>
      </c>
      <c r="G505" s="11">
        <v>230</v>
      </c>
      <c r="H505" s="3" t="s">
        <v>11</v>
      </c>
      <c r="I505" s="3" t="str">
        <f t="shared" si="7"/>
        <v>Apr</v>
      </c>
    </row>
    <row r="506" spans="1:9" x14ac:dyDescent="0.25">
      <c r="A506">
        <v>11073</v>
      </c>
      <c r="B506" t="s">
        <v>202</v>
      </c>
      <c r="C506" s="6">
        <v>43225</v>
      </c>
      <c r="D506" s="6">
        <v>43253</v>
      </c>
      <c r="E506" s="6"/>
      <c r="F506" s="3" t="s">
        <v>645</v>
      </c>
      <c r="G506" s="11">
        <v>124.75</v>
      </c>
      <c r="H506" s="3" t="s">
        <v>11</v>
      </c>
      <c r="I506" s="3" t="str">
        <f t="shared" si="7"/>
        <v>May</v>
      </c>
    </row>
    <row r="507" spans="1:9" x14ac:dyDescent="0.25">
      <c r="A507">
        <v>10353</v>
      </c>
      <c r="B507" t="s">
        <v>205</v>
      </c>
      <c r="C507" s="6">
        <v>42687</v>
      </c>
      <c r="D507" s="6">
        <v>42715</v>
      </c>
      <c r="E507" s="6">
        <v>42699</v>
      </c>
      <c r="F507" s="3" t="s">
        <v>646</v>
      </c>
      <c r="G507" s="11">
        <v>1803.15</v>
      </c>
      <c r="H507" s="3" t="s">
        <v>366</v>
      </c>
      <c r="I507" s="3" t="str">
        <f t="shared" si="7"/>
        <v>Nov</v>
      </c>
    </row>
    <row r="508" spans="1:9" x14ac:dyDescent="0.25">
      <c r="A508">
        <v>10392</v>
      </c>
      <c r="B508" t="s">
        <v>205</v>
      </c>
      <c r="C508" s="6">
        <v>42728</v>
      </c>
      <c r="D508" s="6">
        <v>42756</v>
      </c>
      <c r="E508" s="6">
        <v>42736</v>
      </c>
      <c r="F508" s="3" t="s">
        <v>646</v>
      </c>
      <c r="G508" s="11">
        <v>612.29999999999995</v>
      </c>
      <c r="H508" s="3" t="s">
        <v>366</v>
      </c>
      <c r="I508" s="3" t="str">
        <f t="shared" si="7"/>
        <v>Dec</v>
      </c>
    </row>
    <row r="509" spans="1:9" x14ac:dyDescent="0.25">
      <c r="A509">
        <v>10427</v>
      </c>
      <c r="B509" t="s">
        <v>205</v>
      </c>
      <c r="C509" s="6">
        <v>42762</v>
      </c>
      <c r="D509" s="6">
        <v>42790</v>
      </c>
      <c r="E509" s="6">
        <v>42797</v>
      </c>
      <c r="F509" s="3" t="s">
        <v>645</v>
      </c>
      <c r="G509" s="11">
        <v>156.44999999999999</v>
      </c>
      <c r="H509" s="3" t="s">
        <v>366</v>
      </c>
      <c r="I509" s="3" t="str">
        <f t="shared" si="7"/>
        <v>Jan</v>
      </c>
    </row>
    <row r="510" spans="1:9" x14ac:dyDescent="0.25">
      <c r="A510">
        <v>10489</v>
      </c>
      <c r="B510" t="s">
        <v>205</v>
      </c>
      <c r="C510" s="6">
        <v>42822</v>
      </c>
      <c r="D510" s="6">
        <v>42850</v>
      </c>
      <c r="E510" s="6">
        <v>42834</v>
      </c>
      <c r="F510" s="3" t="s">
        <v>645</v>
      </c>
      <c r="G510" s="11">
        <v>26.45</v>
      </c>
      <c r="H510" s="3" t="s">
        <v>366</v>
      </c>
      <c r="I510" s="3" t="str">
        <f t="shared" si="7"/>
        <v>Mar</v>
      </c>
    </row>
    <row r="511" spans="1:9" x14ac:dyDescent="0.25">
      <c r="A511">
        <v>10530</v>
      </c>
      <c r="B511" t="s">
        <v>205</v>
      </c>
      <c r="C511" s="6">
        <v>42863</v>
      </c>
      <c r="D511" s="6">
        <v>42891</v>
      </c>
      <c r="E511" s="6">
        <v>42867</v>
      </c>
      <c r="F511" s="3" t="s">
        <v>645</v>
      </c>
      <c r="G511" s="11">
        <v>1696.1000000000001</v>
      </c>
      <c r="H511" s="3" t="s">
        <v>366</v>
      </c>
      <c r="I511" s="3" t="str">
        <f t="shared" si="7"/>
        <v>May</v>
      </c>
    </row>
    <row r="512" spans="1:9" x14ac:dyDescent="0.25">
      <c r="A512">
        <v>10597</v>
      </c>
      <c r="B512" t="s">
        <v>205</v>
      </c>
      <c r="C512" s="6">
        <v>42927</v>
      </c>
      <c r="D512" s="6">
        <v>42955</v>
      </c>
      <c r="E512" s="6">
        <v>42934</v>
      </c>
      <c r="F512" s="3" t="s">
        <v>646</v>
      </c>
      <c r="G512" s="11">
        <v>175.6</v>
      </c>
      <c r="H512" s="3" t="s">
        <v>366</v>
      </c>
      <c r="I512" s="3" t="str">
        <f t="shared" si="7"/>
        <v>Jul</v>
      </c>
    </row>
    <row r="513" spans="1:9" x14ac:dyDescent="0.25">
      <c r="A513">
        <v>10686</v>
      </c>
      <c r="B513" t="s">
        <v>205</v>
      </c>
      <c r="C513" s="6">
        <v>43008</v>
      </c>
      <c r="D513" s="6">
        <v>43036</v>
      </c>
      <c r="E513" s="6">
        <v>43016</v>
      </c>
      <c r="F513" s="3" t="s">
        <v>644</v>
      </c>
      <c r="G513" s="11">
        <v>482.5</v>
      </c>
      <c r="H513" s="3" t="s">
        <v>366</v>
      </c>
      <c r="I513" s="3" t="str">
        <f t="shared" si="7"/>
        <v>Sep</v>
      </c>
    </row>
    <row r="514" spans="1:9" x14ac:dyDescent="0.25">
      <c r="A514">
        <v>10747</v>
      </c>
      <c r="B514" t="s">
        <v>205</v>
      </c>
      <c r="C514" s="6">
        <v>43058</v>
      </c>
      <c r="D514" s="6">
        <v>43086</v>
      </c>
      <c r="E514" s="6">
        <v>43065</v>
      </c>
      <c r="F514" s="3" t="s">
        <v>644</v>
      </c>
      <c r="G514" s="11">
        <v>586.65</v>
      </c>
      <c r="H514" s="3" t="s">
        <v>366</v>
      </c>
      <c r="I514" s="3" t="str">
        <f t="shared" si="7"/>
        <v>Nov</v>
      </c>
    </row>
    <row r="515" spans="1:9" x14ac:dyDescent="0.25">
      <c r="A515">
        <v>10844</v>
      </c>
      <c r="B515" t="s">
        <v>205</v>
      </c>
      <c r="C515" s="6">
        <v>43121</v>
      </c>
      <c r="D515" s="6">
        <v>43149</v>
      </c>
      <c r="E515" s="6">
        <v>43126</v>
      </c>
      <c r="F515" s="3" t="s">
        <v>645</v>
      </c>
      <c r="G515" s="11">
        <v>126.1</v>
      </c>
      <c r="H515" s="3" t="s">
        <v>366</v>
      </c>
      <c r="I515" s="3" t="str">
        <f t="shared" ref="I515:I578" si="8">TEXT(C515,"mmm")</f>
        <v>Jan</v>
      </c>
    </row>
    <row r="516" spans="1:9" x14ac:dyDescent="0.25">
      <c r="A516">
        <v>11053</v>
      </c>
      <c r="B516" t="s">
        <v>205</v>
      </c>
      <c r="C516" s="6">
        <v>43217</v>
      </c>
      <c r="D516" s="6">
        <v>43245</v>
      </c>
      <c r="E516" s="6">
        <v>43219</v>
      </c>
      <c r="F516" s="3" t="s">
        <v>645</v>
      </c>
      <c r="G516" s="11">
        <v>265.25</v>
      </c>
      <c r="H516" s="3" t="s">
        <v>366</v>
      </c>
      <c r="I516" s="3" t="str">
        <f t="shared" si="8"/>
        <v>Apr</v>
      </c>
    </row>
    <row r="517" spans="1:9" x14ac:dyDescent="0.25">
      <c r="A517">
        <v>10336</v>
      </c>
      <c r="B517" t="s">
        <v>208</v>
      </c>
      <c r="C517" s="6">
        <v>42666</v>
      </c>
      <c r="D517" s="6">
        <v>42694</v>
      </c>
      <c r="E517" s="6">
        <v>42668</v>
      </c>
      <c r="F517" s="3" t="s">
        <v>645</v>
      </c>
      <c r="G517" s="11">
        <v>77.55</v>
      </c>
      <c r="H517" s="3" t="s">
        <v>367</v>
      </c>
      <c r="I517" s="3" t="str">
        <f t="shared" si="8"/>
        <v>Oct</v>
      </c>
    </row>
    <row r="518" spans="1:9" x14ac:dyDescent="0.25">
      <c r="A518">
        <v>10397</v>
      </c>
      <c r="B518" t="s">
        <v>208</v>
      </c>
      <c r="C518" s="6">
        <v>42731</v>
      </c>
      <c r="D518" s="6">
        <v>42759</v>
      </c>
      <c r="E518" s="6">
        <v>42737</v>
      </c>
      <c r="F518" s="3" t="s">
        <v>644</v>
      </c>
      <c r="G518" s="11">
        <v>301.3</v>
      </c>
      <c r="H518" s="3" t="s">
        <v>367</v>
      </c>
      <c r="I518" s="3" t="str">
        <f t="shared" si="8"/>
        <v>Dec</v>
      </c>
    </row>
    <row r="519" spans="1:9" x14ac:dyDescent="0.25">
      <c r="A519">
        <v>10433</v>
      </c>
      <c r="B519" t="s">
        <v>208</v>
      </c>
      <c r="C519" s="6">
        <v>42769</v>
      </c>
      <c r="D519" s="6">
        <v>42797</v>
      </c>
      <c r="E519" s="6">
        <v>42798</v>
      </c>
      <c r="F519" s="3" t="s">
        <v>646</v>
      </c>
      <c r="G519" s="11">
        <v>369.15</v>
      </c>
      <c r="H519" s="3" t="s">
        <v>367</v>
      </c>
      <c r="I519" s="3" t="str">
        <f t="shared" si="8"/>
        <v>Feb</v>
      </c>
    </row>
    <row r="520" spans="1:9" x14ac:dyDescent="0.25">
      <c r="A520">
        <v>10477</v>
      </c>
      <c r="B520" t="s">
        <v>208</v>
      </c>
      <c r="C520" s="6">
        <v>42811</v>
      </c>
      <c r="D520" s="6">
        <v>42839</v>
      </c>
      <c r="E520" s="6">
        <v>42819</v>
      </c>
      <c r="F520" s="3" t="s">
        <v>645</v>
      </c>
      <c r="G520" s="11">
        <v>65.099999999999994</v>
      </c>
      <c r="H520" s="3" t="s">
        <v>367</v>
      </c>
      <c r="I520" s="3" t="str">
        <f t="shared" si="8"/>
        <v>Mar</v>
      </c>
    </row>
    <row r="521" spans="1:9" x14ac:dyDescent="0.25">
      <c r="A521">
        <v>10808</v>
      </c>
      <c r="B521" t="s">
        <v>208</v>
      </c>
      <c r="C521" s="6">
        <v>43101</v>
      </c>
      <c r="D521" s="6">
        <v>43129</v>
      </c>
      <c r="E521" s="6">
        <v>43109</v>
      </c>
      <c r="F521" s="3" t="s">
        <v>646</v>
      </c>
      <c r="G521" s="11">
        <v>227.65</v>
      </c>
      <c r="H521" s="3" t="s">
        <v>367</v>
      </c>
      <c r="I521" s="3" t="str">
        <f t="shared" si="8"/>
        <v>Jan</v>
      </c>
    </row>
    <row r="522" spans="1:9" x14ac:dyDescent="0.25">
      <c r="A522">
        <v>11007</v>
      </c>
      <c r="B522" t="s">
        <v>208</v>
      </c>
      <c r="C522" s="6">
        <v>43198</v>
      </c>
      <c r="D522" s="6">
        <v>43226</v>
      </c>
      <c r="E522" s="6">
        <v>43203</v>
      </c>
      <c r="F522" s="3" t="s">
        <v>645</v>
      </c>
      <c r="G522" s="11">
        <v>1011.2</v>
      </c>
      <c r="H522" s="3" t="s">
        <v>367</v>
      </c>
      <c r="I522" s="3" t="str">
        <f t="shared" si="8"/>
        <v>Apr</v>
      </c>
    </row>
    <row r="523" spans="1:9" x14ac:dyDescent="0.25">
      <c r="A523">
        <v>10261</v>
      </c>
      <c r="B523" t="s">
        <v>210</v>
      </c>
      <c r="C523" s="6">
        <v>42570</v>
      </c>
      <c r="D523" s="6">
        <v>42598</v>
      </c>
      <c r="E523" s="6">
        <v>42581</v>
      </c>
      <c r="F523" s="3" t="s">
        <v>645</v>
      </c>
      <c r="G523" s="11">
        <v>15.25</v>
      </c>
      <c r="H523" s="3" t="s">
        <v>368</v>
      </c>
      <c r="I523" s="3" t="str">
        <f t="shared" si="8"/>
        <v>Jul</v>
      </c>
    </row>
    <row r="524" spans="1:9" x14ac:dyDescent="0.25">
      <c r="A524">
        <v>10291</v>
      </c>
      <c r="B524" t="s">
        <v>210</v>
      </c>
      <c r="C524" s="6">
        <v>42609</v>
      </c>
      <c r="D524" s="6">
        <v>42637</v>
      </c>
      <c r="E524" s="6">
        <v>42617</v>
      </c>
      <c r="F524" s="3" t="s">
        <v>645</v>
      </c>
      <c r="G524" s="11">
        <v>32</v>
      </c>
      <c r="H524" s="3" t="s">
        <v>368</v>
      </c>
      <c r="I524" s="3" t="str">
        <f t="shared" si="8"/>
        <v>Aug</v>
      </c>
    </row>
    <row r="525" spans="1:9" x14ac:dyDescent="0.25">
      <c r="A525">
        <v>10379</v>
      </c>
      <c r="B525" t="s">
        <v>210</v>
      </c>
      <c r="C525" s="6">
        <v>42715</v>
      </c>
      <c r="D525" s="6">
        <v>42743</v>
      </c>
      <c r="E525" s="6">
        <v>42717</v>
      </c>
      <c r="F525" s="3" t="s">
        <v>644</v>
      </c>
      <c r="G525" s="11">
        <v>225.15</v>
      </c>
      <c r="H525" s="3" t="s">
        <v>368</v>
      </c>
      <c r="I525" s="3" t="str">
        <f t="shared" si="8"/>
        <v>Dec</v>
      </c>
    </row>
    <row r="526" spans="1:9" x14ac:dyDescent="0.25">
      <c r="A526">
        <v>10421</v>
      </c>
      <c r="B526" t="s">
        <v>210</v>
      </c>
      <c r="C526" s="6">
        <v>42756</v>
      </c>
      <c r="D526" s="6">
        <v>42798</v>
      </c>
      <c r="E526" s="6">
        <v>42762</v>
      </c>
      <c r="F526" s="3" t="s">
        <v>644</v>
      </c>
      <c r="G526" s="11">
        <v>496.15000000000003</v>
      </c>
      <c r="H526" s="3" t="s">
        <v>368</v>
      </c>
      <c r="I526" s="3" t="str">
        <f t="shared" si="8"/>
        <v>Jan</v>
      </c>
    </row>
    <row r="527" spans="1:9" x14ac:dyDescent="0.25">
      <c r="A527">
        <v>10587</v>
      </c>
      <c r="B527" t="s">
        <v>210</v>
      </c>
      <c r="C527" s="6">
        <v>42918</v>
      </c>
      <c r="D527" s="6">
        <v>42946</v>
      </c>
      <c r="E527" s="6">
        <v>42925</v>
      </c>
      <c r="F527" s="3" t="s">
        <v>644</v>
      </c>
      <c r="G527" s="11">
        <v>312.60000000000002</v>
      </c>
      <c r="H527" s="3" t="s">
        <v>368</v>
      </c>
      <c r="I527" s="3" t="str">
        <f t="shared" si="8"/>
        <v>Jul</v>
      </c>
    </row>
    <row r="528" spans="1:9" x14ac:dyDescent="0.25">
      <c r="A528">
        <v>10647</v>
      </c>
      <c r="B528" t="s">
        <v>210</v>
      </c>
      <c r="C528" s="6">
        <v>42974</v>
      </c>
      <c r="D528" s="6">
        <v>42988</v>
      </c>
      <c r="E528" s="6">
        <v>42981</v>
      </c>
      <c r="F528" s="3" t="s">
        <v>645</v>
      </c>
      <c r="G528" s="11">
        <v>227.7</v>
      </c>
      <c r="H528" s="3" t="s">
        <v>368</v>
      </c>
      <c r="I528" s="3" t="str">
        <f t="shared" si="8"/>
        <v>Aug</v>
      </c>
    </row>
    <row r="529" spans="1:9" x14ac:dyDescent="0.25">
      <c r="A529">
        <v>10720</v>
      </c>
      <c r="B529" t="s">
        <v>210</v>
      </c>
      <c r="C529" s="6">
        <v>43036</v>
      </c>
      <c r="D529" s="6">
        <v>43050</v>
      </c>
      <c r="E529" s="6">
        <v>43044</v>
      </c>
      <c r="F529" s="3" t="s">
        <v>645</v>
      </c>
      <c r="G529" s="11">
        <v>47.65</v>
      </c>
      <c r="H529" s="3" t="s">
        <v>368</v>
      </c>
      <c r="I529" s="3" t="str">
        <f t="shared" si="8"/>
        <v>Oct</v>
      </c>
    </row>
    <row r="530" spans="1:9" x14ac:dyDescent="0.25">
      <c r="A530">
        <v>10794</v>
      </c>
      <c r="B530" t="s">
        <v>210</v>
      </c>
      <c r="C530" s="6">
        <v>43093</v>
      </c>
      <c r="D530" s="6">
        <v>43121</v>
      </c>
      <c r="E530" s="6">
        <v>43102</v>
      </c>
      <c r="F530" s="3" t="s">
        <v>644</v>
      </c>
      <c r="G530" s="11">
        <v>107.44999999999999</v>
      </c>
      <c r="H530" s="3" t="s">
        <v>368</v>
      </c>
      <c r="I530" s="3" t="str">
        <f t="shared" si="8"/>
        <v>Dec</v>
      </c>
    </row>
    <row r="531" spans="1:9" x14ac:dyDescent="0.25">
      <c r="A531">
        <v>10989</v>
      </c>
      <c r="B531" t="s">
        <v>210</v>
      </c>
      <c r="C531" s="6">
        <v>43190</v>
      </c>
      <c r="D531" s="6">
        <v>43218</v>
      </c>
      <c r="E531" s="6">
        <v>43192</v>
      </c>
      <c r="F531" s="3" t="s">
        <v>644</v>
      </c>
      <c r="G531" s="11">
        <v>173.79999999999998</v>
      </c>
      <c r="H531" s="3" t="s">
        <v>368</v>
      </c>
      <c r="I531" s="3" t="str">
        <f t="shared" si="8"/>
        <v>Mar</v>
      </c>
    </row>
    <row r="532" spans="1:9" x14ac:dyDescent="0.25">
      <c r="A532">
        <v>10372</v>
      </c>
      <c r="B532" t="s">
        <v>213</v>
      </c>
      <c r="C532" s="6">
        <v>42708</v>
      </c>
      <c r="D532" s="6">
        <v>42736</v>
      </c>
      <c r="E532" s="6">
        <v>42713</v>
      </c>
      <c r="F532" s="3" t="s">
        <v>645</v>
      </c>
      <c r="G532" s="11">
        <v>4453.8999999999996</v>
      </c>
      <c r="H532" s="3" t="s">
        <v>369</v>
      </c>
      <c r="I532" s="3" t="str">
        <f t="shared" si="8"/>
        <v>Dec</v>
      </c>
    </row>
    <row r="533" spans="1:9" x14ac:dyDescent="0.25">
      <c r="A533">
        <v>10406</v>
      </c>
      <c r="B533" t="s">
        <v>213</v>
      </c>
      <c r="C533" s="6">
        <v>42742</v>
      </c>
      <c r="D533" s="6">
        <v>42784</v>
      </c>
      <c r="E533" s="6">
        <v>42748</v>
      </c>
      <c r="F533" s="3" t="s">
        <v>644</v>
      </c>
      <c r="G533" s="11">
        <v>540.20000000000005</v>
      </c>
      <c r="H533" s="3" t="s">
        <v>369</v>
      </c>
      <c r="I533" s="3" t="str">
        <f t="shared" si="8"/>
        <v>Jan</v>
      </c>
    </row>
    <row r="534" spans="1:9" x14ac:dyDescent="0.25">
      <c r="A534">
        <v>10487</v>
      </c>
      <c r="B534" t="s">
        <v>213</v>
      </c>
      <c r="C534" s="6">
        <v>42820</v>
      </c>
      <c r="D534" s="6">
        <v>42848</v>
      </c>
      <c r="E534" s="6">
        <v>42822</v>
      </c>
      <c r="F534" s="3" t="s">
        <v>645</v>
      </c>
      <c r="G534" s="11">
        <v>355.34999999999997</v>
      </c>
      <c r="H534" s="3" t="s">
        <v>369</v>
      </c>
      <c r="I534" s="3" t="str">
        <f t="shared" si="8"/>
        <v>Mar</v>
      </c>
    </row>
    <row r="535" spans="1:9" x14ac:dyDescent="0.25">
      <c r="A535">
        <v>10637</v>
      </c>
      <c r="B535" t="s">
        <v>213</v>
      </c>
      <c r="C535" s="6">
        <v>42966</v>
      </c>
      <c r="D535" s="6">
        <v>42994</v>
      </c>
      <c r="E535" s="6">
        <v>42973</v>
      </c>
      <c r="F535" s="3" t="s">
        <v>644</v>
      </c>
      <c r="G535" s="11">
        <v>1006.4499999999999</v>
      </c>
      <c r="H535" s="3" t="s">
        <v>369</v>
      </c>
      <c r="I535" s="3" t="str">
        <f t="shared" si="8"/>
        <v>Aug</v>
      </c>
    </row>
    <row r="536" spans="1:9" x14ac:dyDescent="0.25">
      <c r="A536">
        <v>10659</v>
      </c>
      <c r="B536" t="s">
        <v>213</v>
      </c>
      <c r="C536" s="6">
        <v>42983</v>
      </c>
      <c r="D536" s="6">
        <v>43011</v>
      </c>
      <c r="E536" s="6">
        <v>42988</v>
      </c>
      <c r="F536" s="3" t="s">
        <v>645</v>
      </c>
      <c r="G536" s="11">
        <v>529.04999999999995</v>
      </c>
      <c r="H536" s="3" t="s">
        <v>369</v>
      </c>
      <c r="I536" s="3" t="str">
        <f t="shared" si="8"/>
        <v>Sep</v>
      </c>
    </row>
    <row r="537" spans="1:9" x14ac:dyDescent="0.25">
      <c r="A537">
        <v>10704</v>
      </c>
      <c r="B537" t="s">
        <v>213</v>
      </c>
      <c r="C537" s="6">
        <v>43022</v>
      </c>
      <c r="D537" s="6">
        <v>43050</v>
      </c>
      <c r="E537" s="6">
        <v>43046</v>
      </c>
      <c r="F537" s="3" t="s">
        <v>644</v>
      </c>
      <c r="G537" s="11">
        <v>23.900000000000002</v>
      </c>
      <c r="H537" s="3" t="s">
        <v>369</v>
      </c>
      <c r="I537" s="3" t="str">
        <f t="shared" si="8"/>
        <v>Oct</v>
      </c>
    </row>
    <row r="538" spans="1:9" x14ac:dyDescent="0.25">
      <c r="A538">
        <v>10728</v>
      </c>
      <c r="B538" t="s">
        <v>213</v>
      </c>
      <c r="C538" s="6">
        <v>43043</v>
      </c>
      <c r="D538" s="6">
        <v>43071</v>
      </c>
      <c r="E538" s="6">
        <v>43050</v>
      </c>
      <c r="F538" s="3" t="s">
        <v>645</v>
      </c>
      <c r="G538" s="11">
        <v>291.64999999999998</v>
      </c>
      <c r="H538" s="3" t="s">
        <v>369</v>
      </c>
      <c r="I538" s="3" t="str">
        <f t="shared" si="8"/>
        <v>Nov</v>
      </c>
    </row>
    <row r="539" spans="1:9" x14ac:dyDescent="0.25">
      <c r="A539">
        <v>10786</v>
      </c>
      <c r="B539" t="s">
        <v>213</v>
      </c>
      <c r="C539" s="6">
        <v>43088</v>
      </c>
      <c r="D539" s="6">
        <v>43116</v>
      </c>
      <c r="E539" s="6">
        <v>43092</v>
      </c>
      <c r="F539" s="3" t="s">
        <v>644</v>
      </c>
      <c r="G539" s="11">
        <v>554.35</v>
      </c>
      <c r="H539" s="3" t="s">
        <v>369</v>
      </c>
      <c r="I539" s="3" t="str">
        <f t="shared" si="8"/>
        <v>Dec</v>
      </c>
    </row>
    <row r="540" spans="1:9" x14ac:dyDescent="0.25">
      <c r="A540">
        <v>10868</v>
      </c>
      <c r="B540" t="s">
        <v>213</v>
      </c>
      <c r="C540" s="6">
        <v>43135</v>
      </c>
      <c r="D540" s="6">
        <v>43163</v>
      </c>
      <c r="E540" s="6">
        <v>43154</v>
      </c>
      <c r="F540" s="3" t="s">
        <v>645</v>
      </c>
      <c r="G540" s="11">
        <v>956.35</v>
      </c>
      <c r="H540" s="3" t="s">
        <v>369</v>
      </c>
      <c r="I540" s="3" t="str">
        <f t="shared" si="8"/>
        <v>Feb</v>
      </c>
    </row>
    <row r="541" spans="1:9" x14ac:dyDescent="0.25">
      <c r="A541">
        <v>10913</v>
      </c>
      <c r="B541" t="s">
        <v>213</v>
      </c>
      <c r="C541" s="6">
        <v>43157</v>
      </c>
      <c r="D541" s="6">
        <v>43185</v>
      </c>
      <c r="E541" s="6">
        <v>43163</v>
      </c>
      <c r="F541" s="3" t="s">
        <v>644</v>
      </c>
      <c r="G541" s="11">
        <v>165.25</v>
      </c>
      <c r="H541" s="3" t="s">
        <v>369</v>
      </c>
      <c r="I541" s="3" t="str">
        <f t="shared" si="8"/>
        <v>Feb</v>
      </c>
    </row>
    <row r="542" spans="1:9" x14ac:dyDescent="0.25">
      <c r="A542">
        <v>10914</v>
      </c>
      <c r="B542" t="s">
        <v>213</v>
      </c>
      <c r="C542" s="6">
        <v>43158</v>
      </c>
      <c r="D542" s="6">
        <v>43186</v>
      </c>
      <c r="E542" s="6">
        <v>43161</v>
      </c>
      <c r="F542" s="3" t="s">
        <v>644</v>
      </c>
      <c r="G542" s="11">
        <v>105.95</v>
      </c>
      <c r="H542" s="3" t="s">
        <v>369</v>
      </c>
      <c r="I542" s="3" t="str">
        <f t="shared" si="8"/>
        <v>Feb</v>
      </c>
    </row>
    <row r="543" spans="1:9" x14ac:dyDescent="0.25">
      <c r="A543">
        <v>10961</v>
      </c>
      <c r="B543" t="s">
        <v>213</v>
      </c>
      <c r="C543" s="6">
        <v>43178</v>
      </c>
      <c r="D543" s="6">
        <v>43206</v>
      </c>
      <c r="E543" s="6">
        <v>43189</v>
      </c>
      <c r="F543" s="3" t="s">
        <v>644</v>
      </c>
      <c r="G543" s="11">
        <v>522.35</v>
      </c>
      <c r="H543" s="3" t="s">
        <v>369</v>
      </c>
      <c r="I543" s="3" t="str">
        <f t="shared" si="8"/>
        <v>Mar</v>
      </c>
    </row>
    <row r="544" spans="1:9" x14ac:dyDescent="0.25">
      <c r="A544">
        <v>11068</v>
      </c>
      <c r="B544" t="s">
        <v>213</v>
      </c>
      <c r="C544" s="6">
        <v>43224</v>
      </c>
      <c r="D544" s="6">
        <v>43252</v>
      </c>
      <c r="E544" s="6"/>
      <c r="F544" s="3" t="s">
        <v>645</v>
      </c>
      <c r="G544" s="11">
        <v>408.75</v>
      </c>
      <c r="H544" s="3" t="s">
        <v>369</v>
      </c>
      <c r="I544" s="3" t="str">
        <f t="shared" si="8"/>
        <v>May</v>
      </c>
    </row>
    <row r="545" spans="1:9" x14ac:dyDescent="0.25">
      <c r="A545">
        <v>10273</v>
      </c>
      <c r="B545" t="s">
        <v>215</v>
      </c>
      <c r="C545" s="6">
        <v>42587</v>
      </c>
      <c r="D545" s="6">
        <v>42615</v>
      </c>
      <c r="E545" s="6">
        <v>42594</v>
      </c>
      <c r="F545" s="3" t="s">
        <v>646</v>
      </c>
      <c r="G545" s="11">
        <v>380.34999999999997</v>
      </c>
      <c r="H545" s="3" t="s">
        <v>10</v>
      </c>
      <c r="I545" s="3" t="str">
        <f t="shared" si="8"/>
        <v>Aug</v>
      </c>
    </row>
    <row r="546" spans="1:9" x14ac:dyDescent="0.25">
      <c r="A546">
        <v>10285</v>
      </c>
      <c r="B546" t="s">
        <v>215</v>
      </c>
      <c r="C546" s="6">
        <v>42602</v>
      </c>
      <c r="D546" s="6">
        <v>42630</v>
      </c>
      <c r="E546" s="6">
        <v>42608</v>
      </c>
      <c r="F546" s="3" t="s">
        <v>645</v>
      </c>
      <c r="G546" s="11">
        <v>384.15</v>
      </c>
      <c r="H546" s="3" t="s">
        <v>10</v>
      </c>
      <c r="I546" s="3" t="str">
        <f t="shared" si="8"/>
        <v>Aug</v>
      </c>
    </row>
    <row r="547" spans="1:9" x14ac:dyDescent="0.25">
      <c r="A547">
        <v>10286</v>
      </c>
      <c r="B547" t="s">
        <v>215</v>
      </c>
      <c r="C547" s="6">
        <v>42603</v>
      </c>
      <c r="D547" s="6">
        <v>42631</v>
      </c>
      <c r="E547" s="6">
        <v>42612</v>
      </c>
      <c r="F547" s="3" t="s">
        <v>646</v>
      </c>
      <c r="G547" s="11">
        <v>1146.2</v>
      </c>
      <c r="H547" s="3" t="s">
        <v>10</v>
      </c>
      <c r="I547" s="3" t="str">
        <f t="shared" si="8"/>
        <v>Aug</v>
      </c>
    </row>
    <row r="548" spans="1:9" x14ac:dyDescent="0.25">
      <c r="A548">
        <v>10313</v>
      </c>
      <c r="B548" t="s">
        <v>215</v>
      </c>
      <c r="C548" s="6">
        <v>42637</v>
      </c>
      <c r="D548" s="6">
        <v>42665</v>
      </c>
      <c r="E548" s="6">
        <v>42647</v>
      </c>
      <c r="F548" s="3" t="s">
        <v>645</v>
      </c>
      <c r="G548" s="11">
        <v>9.8000000000000007</v>
      </c>
      <c r="H548" s="3" t="s">
        <v>10</v>
      </c>
      <c r="I548" s="3" t="str">
        <f t="shared" si="8"/>
        <v>Sep</v>
      </c>
    </row>
    <row r="549" spans="1:9" x14ac:dyDescent="0.25">
      <c r="A549">
        <v>10345</v>
      </c>
      <c r="B549" t="s">
        <v>215</v>
      </c>
      <c r="C549" s="6">
        <v>42678</v>
      </c>
      <c r="D549" s="6">
        <v>42706</v>
      </c>
      <c r="E549" s="6">
        <v>42685</v>
      </c>
      <c r="F549" s="3" t="s">
        <v>645</v>
      </c>
      <c r="G549" s="11">
        <v>1245.3</v>
      </c>
      <c r="H549" s="3" t="s">
        <v>10</v>
      </c>
      <c r="I549" s="3" t="str">
        <f t="shared" si="8"/>
        <v>Nov</v>
      </c>
    </row>
    <row r="550" spans="1:9" x14ac:dyDescent="0.25">
      <c r="A550">
        <v>10361</v>
      </c>
      <c r="B550" t="s">
        <v>215</v>
      </c>
      <c r="C550" s="6">
        <v>42696</v>
      </c>
      <c r="D550" s="6">
        <v>42724</v>
      </c>
      <c r="E550" s="6">
        <v>42707</v>
      </c>
      <c r="F550" s="3" t="s">
        <v>645</v>
      </c>
      <c r="G550" s="11">
        <v>915.84999999999991</v>
      </c>
      <c r="H550" s="3" t="s">
        <v>10</v>
      </c>
      <c r="I550" s="3" t="str">
        <f t="shared" si="8"/>
        <v>Nov</v>
      </c>
    </row>
    <row r="551" spans="1:9" x14ac:dyDescent="0.25">
      <c r="A551">
        <v>10418</v>
      </c>
      <c r="B551" t="s">
        <v>215</v>
      </c>
      <c r="C551" s="6">
        <v>42752</v>
      </c>
      <c r="D551" s="6">
        <v>42780</v>
      </c>
      <c r="E551" s="6">
        <v>42759</v>
      </c>
      <c r="F551" s="3" t="s">
        <v>644</v>
      </c>
      <c r="G551" s="11">
        <v>87.75</v>
      </c>
      <c r="H551" s="3" t="s">
        <v>10</v>
      </c>
      <c r="I551" s="3" t="str">
        <f t="shared" si="8"/>
        <v>Jan</v>
      </c>
    </row>
    <row r="552" spans="1:9" x14ac:dyDescent="0.25">
      <c r="A552">
        <v>10451</v>
      </c>
      <c r="B552" t="s">
        <v>215</v>
      </c>
      <c r="C552" s="6">
        <v>42785</v>
      </c>
      <c r="D552" s="6">
        <v>42799</v>
      </c>
      <c r="E552" s="6">
        <v>42806</v>
      </c>
      <c r="F552" s="3" t="s">
        <v>646</v>
      </c>
      <c r="G552" s="11">
        <v>945.45</v>
      </c>
      <c r="H552" s="3" t="s">
        <v>10</v>
      </c>
      <c r="I552" s="3" t="str">
        <f t="shared" si="8"/>
        <v>Feb</v>
      </c>
    </row>
    <row r="553" spans="1:9" x14ac:dyDescent="0.25">
      <c r="A553">
        <v>10515</v>
      </c>
      <c r="B553" t="s">
        <v>215</v>
      </c>
      <c r="C553" s="6">
        <v>42848</v>
      </c>
      <c r="D553" s="6">
        <v>42862</v>
      </c>
      <c r="E553" s="6">
        <v>42878</v>
      </c>
      <c r="F553" s="3" t="s">
        <v>644</v>
      </c>
      <c r="G553" s="11">
        <v>1022.35</v>
      </c>
      <c r="H553" s="3" t="s">
        <v>10</v>
      </c>
      <c r="I553" s="3" t="str">
        <f t="shared" si="8"/>
        <v>Apr</v>
      </c>
    </row>
    <row r="554" spans="1:9" x14ac:dyDescent="0.25">
      <c r="A554">
        <v>10527</v>
      </c>
      <c r="B554" t="s">
        <v>215</v>
      </c>
      <c r="C554" s="6">
        <v>42860</v>
      </c>
      <c r="D554" s="6">
        <v>42888</v>
      </c>
      <c r="E554" s="6">
        <v>42862</v>
      </c>
      <c r="F554" s="3" t="s">
        <v>644</v>
      </c>
      <c r="G554" s="11">
        <v>209.5</v>
      </c>
      <c r="H554" s="3" t="s">
        <v>10</v>
      </c>
      <c r="I554" s="3" t="str">
        <f t="shared" si="8"/>
        <v>May</v>
      </c>
    </row>
    <row r="555" spans="1:9" x14ac:dyDescent="0.25">
      <c r="A555">
        <v>10540</v>
      </c>
      <c r="B555" t="s">
        <v>215</v>
      </c>
      <c r="C555" s="6">
        <v>42874</v>
      </c>
      <c r="D555" s="6">
        <v>42902</v>
      </c>
      <c r="E555" s="6">
        <v>42899</v>
      </c>
      <c r="F555" s="3" t="s">
        <v>646</v>
      </c>
      <c r="G555" s="11">
        <v>5038.2</v>
      </c>
      <c r="H555" s="3" t="s">
        <v>10</v>
      </c>
      <c r="I555" s="3" t="str">
        <f t="shared" si="8"/>
        <v>May</v>
      </c>
    </row>
    <row r="556" spans="1:9" x14ac:dyDescent="0.25">
      <c r="A556">
        <v>10549</v>
      </c>
      <c r="B556" t="s">
        <v>215</v>
      </c>
      <c r="C556" s="6">
        <v>42882</v>
      </c>
      <c r="D556" s="6">
        <v>42896</v>
      </c>
      <c r="E556" s="6">
        <v>42885</v>
      </c>
      <c r="F556" s="3" t="s">
        <v>644</v>
      </c>
      <c r="G556" s="11">
        <v>856.2</v>
      </c>
      <c r="H556" s="3" t="s">
        <v>10</v>
      </c>
      <c r="I556" s="3" t="str">
        <f t="shared" si="8"/>
        <v>May</v>
      </c>
    </row>
    <row r="557" spans="1:9" x14ac:dyDescent="0.25">
      <c r="A557">
        <v>10588</v>
      </c>
      <c r="B557" t="s">
        <v>215</v>
      </c>
      <c r="C557" s="6">
        <v>42919</v>
      </c>
      <c r="D557" s="6">
        <v>42947</v>
      </c>
      <c r="E557" s="6">
        <v>42926</v>
      </c>
      <c r="F557" s="3" t="s">
        <v>646</v>
      </c>
      <c r="G557" s="11">
        <v>973.34999999999991</v>
      </c>
      <c r="H557" s="3" t="s">
        <v>10</v>
      </c>
      <c r="I557" s="3" t="str">
        <f t="shared" si="8"/>
        <v>Jul</v>
      </c>
    </row>
    <row r="558" spans="1:9" x14ac:dyDescent="0.25">
      <c r="A558">
        <v>10658</v>
      </c>
      <c r="B558" t="s">
        <v>215</v>
      </c>
      <c r="C558" s="6">
        <v>42983</v>
      </c>
      <c r="D558" s="6">
        <v>43011</v>
      </c>
      <c r="E558" s="6">
        <v>42986</v>
      </c>
      <c r="F558" s="3" t="s">
        <v>644</v>
      </c>
      <c r="G558" s="11">
        <v>1820.75</v>
      </c>
      <c r="H558" s="3" t="s">
        <v>10</v>
      </c>
      <c r="I558" s="3" t="str">
        <f t="shared" si="8"/>
        <v>Sep</v>
      </c>
    </row>
    <row r="559" spans="1:9" x14ac:dyDescent="0.25">
      <c r="A559">
        <v>10691</v>
      </c>
      <c r="B559" t="s">
        <v>215</v>
      </c>
      <c r="C559" s="6">
        <v>43011</v>
      </c>
      <c r="D559" s="6">
        <v>43053</v>
      </c>
      <c r="E559" s="6">
        <v>43030</v>
      </c>
      <c r="F559" s="3" t="s">
        <v>645</v>
      </c>
      <c r="G559" s="11">
        <v>4050.25</v>
      </c>
      <c r="H559" s="3" t="s">
        <v>10</v>
      </c>
      <c r="I559" s="3" t="str">
        <f t="shared" si="8"/>
        <v>Oct</v>
      </c>
    </row>
    <row r="560" spans="1:9" x14ac:dyDescent="0.25">
      <c r="A560">
        <v>10694</v>
      </c>
      <c r="B560" t="s">
        <v>215</v>
      </c>
      <c r="C560" s="6">
        <v>43014</v>
      </c>
      <c r="D560" s="6">
        <v>43042</v>
      </c>
      <c r="E560" s="6">
        <v>43017</v>
      </c>
      <c r="F560" s="3" t="s">
        <v>646</v>
      </c>
      <c r="G560" s="11">
        <v>1991.8000000000002</v>
      </c>
      <c r="H560" s="3" t="s">
        <v>10</v>
      </c>
      <c r="I560" s="3" t="str">
        <f t="shared" si="8"/>
        <v>Oct</v>
      </c>
    </row>
    <row r="561" spans="1:9" x14ac:dyDescent="0.25">
      <c r="A561">
        <v>10721</v>
      </c>
      <c r="B561" t="s">
        <v>215</v>
      </c>
      <c r="C561" s="6">
        <v>43037</v>
      </c>
      <c r="D561" s="6">
        <v>43065</v>
      </c>
      <c r="E561" s="6">
        <v>43039</v>
      </c>
      <c r="F561" s="3" t="s">
        <v>646</v>
      </c>
      <c r="G561" s="11">
        <v>244.60000000000002</v>
      </c>
      <c r="H561" s="3" t="s">
        <v>10</v>
      </c>
      <c r="I561" s="3" t="str">
        <f t="shared" si="8"/>
        <v>Oct</v>
      </c>
    </row>
    <row r="562" spans="1:9" x14ac:dyDescent="0.25">
      <c r="A562">
        <v>10745</v>
      </c>
      <c r="B562" t="s">
        <v>215</v>
      </c>
      <c r="C562" s="6">
        <v>43057</v>
      </c>
      <c r="D562" s="6">
        <v>43085</v>
      </c>
      <c r="E562" s="6">
        <v>43066</v>
      </c>
      <c r="F562" s="3" t="s">
        <v>644</v>
      </c>
      <c r="G562" s="11">
        <v>17.600000000000001</v>
      </c>
      <c r="H562" s="3" t="s">
        <v>10</v>
      </c>
      <c r="I562" s="3" t="str">
        <f t="shared" si="8"/>
        <v>Nov</v>
      </c>
    </row>
    <row r="563" spans="1:9" x14ac:dyDescent="0.25">
      <c r="A563">
        <v>10765</v>
      </c>
      <c r="B563" t="s">
        <v>215</v>
      </c>
      <c r="C563" s="6">
        <v>43073</v>
      </c>
      <c r="D563" s="6">
        <v>43101</v>
      </c>
      <c r="E563" s="6">
        <v>43078</v>
      </c>
      <c r="F563" s="3" t="s">
        <v>646</v>
      </c>
      <c r="G563" s="11">
        <v>213.70000000000002</v>
      </c>
      <c r="H563" s="3" t="s">
        <v>10</v>
      </c>
      <c r="I563" s="3" t="str">
        <f t="shared" si="8"/>
        <v>Dec</v>
      </c>
    </row>
    <row r="564" spans="1:9" x14ac:dyDescent="0.25">
      <c r="A564">
        <v>10788</v>
      </c>
      <c r="B564" t="s">
        <v>215</v>
      </c>
      <c r="C564" s="6">
        <v>43091</v>
      </c>
      <c r="D564" s="6">
        <v>43119</v>
      </c>
      <c r="E564" s="6">
        <v>43119</v>
      </c>
      <c r="F564" s="3" t="s">
        <v>645</v>
      </c>
      <c r="G564" s="11">
        <v>213.5</v>
      </c>
      <c r="H564" s="3" t="s">
        <v>10</v>
      </c>
      <c r="I564" s="3" t="str">
        <f t="shared" si="8"/>
        <v>Dec</v>
      </c>
    </row>
    <row r="565" spans="1:9" x14ac:dyDescent="0.25">
      <c r="A565">
        <v>10845</v>
      </c>
      <c r="B565" t="s">
        <v>215</v>
      </c>
      <c r="C565" s="6">
        <v>43121</v>
      </c>
      <c r="D565" s="6">
        <v>43135</v>
      </c>
      <c r="E565" s="6">
        <v>43130</v>
      </c>
      <c r="F565" s="3" t="s">
        <v>644</v>
      </c>
      <c r="G565" s="11">
        <v>1064.8999999999999</v>
      </c>
      <c r="H565" s="3" t="s">
        <v>10</v>
      </c>
      <c r="I565" s="3" t="str">
        <f t="shared" si="8"/>
        <v>Jan</v>
      </c>
    </row>
    <row r="566" spans="1:9" x14ac:dyDescent="0.25">
      <c r="A566">
        <v>10865</v>
      </c>
      <c r="B566" t="s">
        <v>215</v>
      </c>
      <c r="C566" s="6">
        <v>43133</v>
      </c>
      <c r="D566" s="6">
        <v>43147</v>
      </c>
      <c r="E566" s="6">
        <v>43143</v>
      </c>
      <c r="F566" s="3" t="s">
        <v>644</v>
      </c>
      <c r="G566" s="11">
        <v>1740.6999999999998</v>
      </c>
      <c r="H566" s="3" t="s">
        <v>10</v>
      </c>
      <c r="I566" s="3" t="str">
        <f t="shared" si="8"/>
        <v>Feb</v>
      </c>
    </row>
    <row r="567" spans="1:9" x14ac:dyDescent="0.25">
      <c r="A567">
        <v>10878</v>
      </c>
      <c r="B567" t="s">
        <v>215</v>
      </c>
      <c r="C567" s="6">
        <v>43141</v>
      </c>
      <c r="D567" s="6">
        <v>43169</v>
      </c>
      <c r="E567" s="6">
        <v>43143</v>
      </c>
      <c r="F567" s="3" t="s">
        <v>644</v>
      </c>
      <c r="G567" s="11">
        <v>233.45</v>
      </c>
      <c r="H567" s="3" t="s">
        <v>10</v>
      </c>
      <c r="I567" s="3" t="str">
        <f t="shared" si="8"/>
        <v>Feb</v>
      </c>
    </row>
    <row r="568" spans="1:9" x14ac:dyDescent="0.25">
      <c r="A568">
        <v>10938</v>
      </c>
      <c r="B568" t="s">
        <v>215</v>
      </c>
      <c r="C568" s="6">
        <v>43169</v>
      </c>
      <c r="D568" s="6">
        <v>43197</v>
      </c>
      <c r="E568" s="6">
        <v>43175</v>
      </c>
      <c r="F568" s="3" t="s">
        <v>645</v>
      </c>
      <c r="G568" s="11">
        <v>159.44999999999999</v>
      </c>
      <c r="H568" s="3" t="s">
        <v>10</v>
      </c>
      <c r="I568" s="3" t="str">
        <f t="shared" si="8"/>
        <v>Mar</v>
      </c>
    </row>
    <row r="569" spans="1:9" x14ac:dyDescent="0.25">
      <c r="A569">
        <v>10962</v>
      </c>
      <c r="B569" t="s">
        <v>215</v>
      </c>
      <c r="C569" s="6">
        <v>43178</v>
      </c>
      <c r="D569" s="6">
        <v>43206</v>
      </c>
      <c r="E569" s="6">
        <v>43182</v>
      </c>
      <c r="F569" s="3" t="s">
        <v>645</v>
      </c>
      <c r="G569" s="11">
        <v>1378.95</v>
      </c>
      <c r="H569" s="3" t="s">
        <v>10</v>
      </c>
      <c r="I569" s="3" t="str">
        <f t="shared" si="8"/>
        <v>Mar</v>
      </c>
    </row>
    <row r="570" spans="1:9" x14ac:dyDescent="0.25">
      <c r="A570">
        <v>10991</v>
      </c>
      <c r="B570" t="s">
        <v>215</v>
      </c>
      <c r="C570" s="6">
        <v>43191</v>
      </c>
      <c r="D570" s="6">
        <v>43219</v>
      </c>
      <c r="E570" s="6">
        <v>43197</v>
      </c>
      <c r="F570" s="3" t="s">
        <v>644</v>
      </c>
      <c r="G570" s="11">
        <v>192.54999999999998</v>
      </c>
      <c r="H570" s="3" t="s">
        <v>10</v>
      </c>
      <c r="I570" s="3" t="str">
        <f t="shared" si="8"/>
        <v>Apr</v>
      </c>
    </row>
    <row r="571" spans="1:9" x14ac:dyDescent="0.25">
      <c r="A571">
        <v>10996</v>
      </c>
      <c r="B571" t="s">
        <v>215</v>
      </c>
      <c r="C571" s="6">
        <v>43192</v>
      </c>
      <c r="D571" s="6">
        <v>43220</v>
      </c>
      <c r="E571" s="6">
        <v>43200</v>
      </c>
      <c r="F571" s="3" t="s">
        <v>645</v>
      </c>
      <c r="G571" s="11">
        <v>5.6000000000000005</v>
      </c>
      <c r="H571" s="3" t="s">
        <v>10</v>
      </c>
      <c r="I571" s="3" t="str">
        <f t="shared" si="8"/>
        <v>Apr</v>
      </c>
    </row>
    <row r="572" spans="1:9" x14ac:dyDescent="0.25">
      <c r="A572">
        <v>11021</v>
      </c>
      <c r="B572" t="s">
        <v>215</v>
      </c>
      <c r="C572" s="6">
        <v>43204</v>
      </c>
      <c r="D572" s="6">
        <v>43232</v>
      </c>
      <c r="E572" s="6">
        <v>43211</v>
      </c>
      <c r="F572" s="3" t="s">
        <v>644</v>
      </c>
      <c r="G572" s="11">
        <v>1485.9</v>
      </c>
      <c r="H572" s="3" t="s">
        <v>10</v>
      </c>
      <c r="I572" s="3" t="str">
        <f t="shared" si="8"/>
        <v>Apr</v>
      </c>
    </row>
    <row r="573" spans="1:9" x14ac:dyDescent="0.25">
      <c r="A573">
        <v>10448</v>
      </c>
      <c r="B573" t="s">
        <v>217</v>
      </c>
      <c r="C573" s="6">
        <v>42783</v>
      </c>
      <c r="D573" s="6">
        <v>42811</v>
      </c>
      <c r="E573" s="6">
        <v>42790</v>
      </c>
      <c r="F573" s="3" t="s">
        <v>645</v>
      </c>
      <c r="G573" s="11">
        <v>194.1</v>
      </c>
      <c r="H573" s="3" t="s">
        <v>9</v>
      </c>
      <c r="I573" s="3" t="str">
        <f t="shared" si="8"/>
        <v>Feb</v>
      </c>
    </row>
    <row r="574" spans="1:9" x14ac:dyDescent="0.25">
      <c r="A574">
        <v>10716</v>
      </c>
      <c r="B574" t="s">
        <v>217</v>
      </c>
      <c r="C574" s="6">
        <v>43032</v>
      </c>
      <c r="D574" s="6">
        <v>43060</v>
      </c>
      <c r="E574" s="6">
        <v>43035</v>
      </c>
      <c r="F574" s="3" t="s">
        <v>645</v>
      </c>
      <c r="G574" s="11">
        <v>112.85</v>
      </c>
      <c r="H574" s="3" t="s">
        <v>9</v>
      </c>
      <c r="I574" s="3" t="str">
        <f t="shared" si="8"/>
        <v>Oct</v>
      </c>
    </row>
    <row r="575" spans="1:9" x14ac:dyDescent="0.25">
      <c r="A575">
        <v>10828</v>
      </c>
      <c r="B575" t="s">
        <v>217</v>
      </c>
      <c r="C575" s="6">
        <v>43113</v>
      </c>
      <c r="D575" s="6">
        <v>43127</v>
      </c>
      <c r="E575" s="6">
        <v>43135</v>
      </c>
      <c r="F575" s="3" t="s">
        <v>644</v>
      </c>
      <c r="G575" s="11">
        <v>454.25</v>
      </c>
      <c r="H575" s="3" t="s">
        <v>9</v>
      </c>
      <c r="I575" s="3" t="str">
        <f t="shared" si="8"/>
        <v>Jan</v>
      </c>
    </row>
    <row r="576" spans="1:9" x14ac:dyDescent="0.25">
      <c r="A576">
        <v>10916</v>
      </c>
      <c r="B576" t="s">
        <v>217</v>
      </c>
      <c r="C576" s="6">
        <v>43158</v>
      </c>
      <c r="D576" s="6">
        <v>43186</v>
      </c>
      <c r="E576" s="6">
        <v>43168</v>
      </c>
      <c r="F576" s="3" t="s">
        <v>645</v>
      </c>
      <c r="G576" s="11">
        <v>318.85000000000002</v>
      </c>
      <c r="H576" s="3" t="s">
        <v>9</v>
      </c>
      <c r="I576" s="3" t="str">
        <f t="shared" si="8"/>
        <v>Feb</v>
      </c>
    </row>
    <row r="577" spans="1:9" x14ac:dyDescent="0.25">
      <c r="A577">
        <v>11019</v>
      </c>
      <c r="B577" t="s">
        <v>217</v>
      </c>
      <c r="C577" s="6">
        <v>43203</v>
      </c>
      <c r="D577" s="6">
        <v>43231</v>
      </c>
      <c r="E577" s="6"/>
      <c r="F577" s="3" t="s">
        <v>646</v>
      </c>
      <c r="G577" s="11">
        <v>15.85</v>
      </c>
      <c r="H577" s="3" t="s">
        <v>9</v>
      </c>
      <c r="I577" s="3" t="str">
        <f t="shared" si="8"/>
        <v>Apr</v>
      </c>
    </row>
    <row r="578" spans="1:9" x14ac:dyDescent="0.25">
      <c r="A578">
        <v>10262</v>
      </c>
      <c r="B578" t="s">
        <v>220</v>
      </c>
      <c r="C578" s="6">
        <v>42573</v>
      </c>
      <c r="D578" s="6">
        <v>42601</v>
      </c>
      <c r="E578" s="6">
        <v>42576</v>
      </c>
      <c r="F578" s="3" t="s">
        <v>646</v>
      </c>
      <c r="G578" s="11">
        <v>241.45</v>
      </c>
      <c r="H578" s="3" t="s">
        <v>370</v>
      </c>
      <c r="I578" s="3" t="str">
        <f t="shared" si="8"/>
        <v>Jul</v>
      </c>
    </row>
    <row r="579" spans="1:9" x14ac:dyDescent="0.25">
      <c r="A579">
        <v>10272</v>
      </c>
      <c r="B579" t="s">
        <v>220</v>
      </c>
      <c r="C579" s="6">
        <v>42584</v>
      </c>
      <c r="D579" s="6">
        <v>42612</v>
      </c>
      <c r="E579" s="6">
        <v>42588</v>
      </c>
      <c r="F579" s="3" t="s">
        <v>645</v>
      </c>
      <c r="G579" s="11">
        <v>490.15</v>
      </c>
      <c r="H579" s="3" t="s">
        <v>370</v>
      </c>
      <c r="I579" s="3" t="str">
        <f t="shared" ref="I579:I642" si="9">TEXT(C579,"mmm")</f>
        <v>Aug</v>
      </c>
    </row>
    <row r="580" spans="1:9" x14ac:dyDescent="0.25">
      <c r="A580">
        <v>10294</v>
      </c>
      <c r="B580" t="s">
        <v>220</v>
      </c>
      <c r="C580" s="6">
        <v>42612</v>
      </c>
      <c r="D580" s="6">
        <v>42640</v>
      </c>
      <c r="E580" s="6">
        <v>42618</v>
      </c>
      <c r="F580" s="3" t="s">
        <v>645</v>
      </c>
      <c r="G580" s="11">
        <v>736.3</v>
      </c>
      <c r="H580" s="3" t="s">
        <v>370</v>
      </c>
      <c r="I580" s="3" t="str">
        <f t="shared" si="9"/>
        <v>Aug</v>
      </c>
    </row>
    <row r="581" spans="1:9" x14ac:dyDescent="0.25">
      <c r="A581">
        <v>10314</v>
      </c>
      <c r="B581" t="s">
        <v>220</v>
      </c>
      <c r="C581" s="6">
        <v>42638</v>
      </c>
      <c r="D581" s="6">
        <v>42666</v>
      </c>
      <c r="E581" s="6">
        <v>42647</v>
      </c>
      <c r="F581" s="3" t="s">
        <v>645</v>
      </c>
      <c r="G581" s="11">
        <v>370.79999999999995</v>
      </c>
      <c r="H581" s="3" t="s">
        <v>370</v>
      </c>
      <c r="I581" s="3" t="str">
        <f t="shared" si="9"/>
        <v>Sep</v>
      </c>
    </row>
    <row r="582" spans="1:9" x14ac:dyDescent="0.25">
      <c r="A582">
        <v>10316</v>
      </c>
      <c r="B582" t="s">
        <v>220</v>
      </c>
      <c r="C582" s="6">
        <v>42640</v>
      </c>
      <c r="D582" s="6">
        <v>42668</v>
      </c>
      <c r="E582" s="6">
        <v>42651</v>
      </c>
      <c r="F582" s="3" t="s">
        <v>646</v>
      </c>
      <c r="G582" s="11">
        <v>750.75</v>
      </c>
      <c r="H582" s="3" t="s">
        <v>370</v>
      </c>
      <c r="I582" s="3" t="str">
        <f t="shared" si="9"/>
        <v>Sep</v>
      </c>
    </row>
    <row r="583" spans="1:9" x14ac:dyDescent="0.25">
      <c r="A583">
        <v>10346</v>
      </c>
      <c r="B583" t="s">
        <v>220</v>
      </c>
      <c r="C583" s="6">
        <v>42679</v>
      </c>
      <c r="D583" s="6">
        <v>42721</v>
      </c>
      <c r="E583" s="6">
        <v>42682</v>
      </c>
      <c r="F583" s="3" t="s">
        <v>646</v>
      </c>
      <c r="G583" s="11">
        <v>710.40000000000009</v>
      </c>
      <c r="H583" s="3" t="s">
        <v>370</v>
      </c>
      <c r="I583" s="3" t="str">
        <f t="shared" si="9"/>
        <v>Nov</v>
      </c>
    </row>
    <row r="584" spans="1:9" x14ac:dyDescent="0.25">
      <c r="A584">
        <v>10401</v>
      </c>
      <c r="B584" t="s">
        <v>220</v>
      </c>
      <c r="C584" s="6">
        <v>42736</v>
      </c>
      <c r="D584" s="6">
        <v>42764</v>
      </c>
      <c r="E584" s="6">
        <v>42745</v>
      </c>
      <c r="F584" s="3" t="s">
        <v>644</v>
      </c>
      <c r="G584" s="11">
        <v>62.55</v>
      </c>
      <c r="H584" s="3" t="s">
        <v>370</v>
      </c>
      <c r="I584" s="3" t="str">
        <f t="shared" si="9"/>
        <v>Jan</v>
      </c>
    </row>
    <row r="585" spans="1:9" x14ac:dyDescent="0.25">
      <c r="A585">
        <v>10479</v>
      </c>
      <c r="B585" t="s">
        <v>220</v>
      </c>
      <c r="C585" s="6">
        <v>42813</v>
      </c>
      <c r="D585" s="6">
        <v>42841</v>
      </c>
      <c r="E585" s="6">
        <v>42815</v>
      </c>
      <c r="F585" s="3" t="s">
        <v>646</v>
      </c>
      <c r="G585" s="11">
        <v>3544.75</v>
      </c>
      <c r="H585" s="3" t="s">
        <v>370</v>
      </c>
      <c r="I585" s="3" t="str">
        <f t="shared" si="9"/>
        <v>Mar</v>
      </c>
    </row>
    <row r="586" spans="1:9" x14ac:dyDescent="0.25">
      <c r="A586">
        <v>10564</v>
      </c>
      <c r="B586" t="s">
        <v>220</v>
      </c>
      <c r="C586" s="6">
        <v>42896</v>
      </c>
      <c r="D586" s="6">
        <v>42924</v>
      </c>
      <c r="E586" s="6">
        <v>42902</v>
      </c>
      <c r="F586" s="3" t="s">
        <v>646</v>
      </c>
      <c r="G586" s="11">
        <v>68.75</v>
      </c>
      <c r="H586" s="3" t="s">
        <v>370</v>
      </c>
      <c r="I586" s="3" t="str">
        <f t="shared" si="9"/>
        <v>Jun</v>
      </c>
    </row>
    <row r="587" spans="1:9" x14ac:dyDescent="0.25">
      <c r="A587">
        <v>10569</v>
      </c>
      <c r="B587" t="s">
        <v>220</v>
      </c>
      <c r="C587" s="6">
        <v>42902</v>
      </c>
      <c r="D587" s="6">
        <v>42930</v>
      </c>
      <c r="E587" s="6">
        <v>42927</v>
      </c>
      <c r="F587" s="3" t="s">
        <v>644</v>
      </c>
      <c r="G587" s="11">
        <v>294.89999999999998</v>
      </c>
      <c r="H587" s="3" t="s">
        <v>370</v>
      </c>
      <c r="I587" s="3" t="str">
        <f t="shared" si="9"/>
        <v>Jun</v>
      </c>
    </row>
    <row r="588" spans="1:9" x14ac:dyDescent="0.25">
      <c r="A588">
        <v>10598</v>
      </c>
      <c r="B588" t="s">
        <v>220</v>
      </c>
      <c r="C588" s="6">
        <v>42930</v>
      </c>
      <c r="D588" s="6">
        <v>42958</v>
      </c>
      <c r="E588" s="6">
        <v>42934</v>
      </c>
      <c r="F588" s="3" t="s">
        <v>646</v>
      </c>
      <c r="G588" s="11">
        <v>222.10000000000002</v>
      </c>
      <c r="H588" s="3" t="s">
        <v>370</v>
      </c>
      <c r="I588" s="3" t="str">
        <f t="shared" si="9"/>
        <v>Jul</v>
      </c>
    </row>
    <row r="589" spans="1:9" x14ac:dyDescent="0.25">
      <c r="A589">
        <v>10761</v>
      </c>
      <c r="B589" t="s">
        <v>220</v>
      </c>
      <c r="C589" s="6">
        <v>43071</v>
      </c>
      <c r="D589" s="6">
        <v>43099</v>
      </c>
      <c r="E589" s="6">
        <v>43077</v>
      </c>
      <c r="F589" s="3" t="s">
        <v>645</v>
      </c>
      <c r="G589" s="11">
        <v>93.3</v>
      </c>
      <c r="H589" s="3" t="s">
        <v>370</v>
      </c>
      <c r="I589" s="3" t="str">
        <f t="shared" si="9"/>
        <v>Dec</v>
      </c>
    </row>
    <row r="590" spans="1:9" x14ac:dyDescent="0.25">
      <c r="A590">
        <v>10820</v>
      </c>
      <c r="B590" t="s">
        <v>220</v>
      </c>
      <c r="C590" s="6">
        <v>43107</v>
      </c>
      <c r="D590" s="6">
        <v>43135</v>
      </c>
      <c r="E590" s="6">
        <v>43113</v>
      </c>
      <c r="F590" s="3" t="s">
        <v>645</v>
      </c>
      <c r="G590" s="11">
        <v>187.60000000000002</v>
      </c>
      <c r="H590" s="3" t="s">
        <v>370</v>
      </c>
      <c r="I590" s="3" t="str">
        <f t="shared" si="9"/>
        <v>Jan</v>
      </c>
    </row>
    <row r="591" spans="1:9" x14ac:dyDescent="0.25">
      <c r="A591">
        <v>10852</v>
      </c>
      <c r="B591" t="s">
        <v>220</v>
      </c>
      <c r="C591" s="6">
        <v>43126</v>
      </c>
      <c r="D591" s="6">
        <v>43140</v>
      </c>
      <c r="E591" s="6">
        <v>43130</v>
      </c>
      <c r="F591" s="3" t="s">
        <v>644</v>
      </c>
      <c r="G591" s="11">
        <v>870.25</v>
      </c>
      <c r="H591" s="3" t="s">
        <v>370</v>
      </c>
      <c r="I591" s="3" t="str">
        <f t="shared" si="9"/>
        <v>Jan</v>
      </c>
    </row>
    <row r="592" spans="1:9" x14ac:dyDescent="0.25">
      <c r="A592">
        <v>10889</v>
      </c>
      <c r="B592" t="s">
        <v>220</v>
      </c>
      <c r="C592" s="6">
        <v>43147</v>
      </c>
      <c r="D592" s="6">
        <v>43175</v>
      </c>
      <c r="E592" s="6">
        <v>43154</v>
      </c>
      <c r="F592" s="3" t="s">
        <v>646</v>
      </c>
      <c r="G592" s="11">
        <v>1403.0500000000002</v>
      </c>
      <c r="H592" s="3" t="s">
        <v>370</v>
      </c>
      <c r="I592" s="3" t="str">
        <f t="shared" si="9"/>
        <v>Feb</v>
      </c>
    </row>
    <row r="593" spans="1:9" x14ac:dyDescent="0.25">
      <c r="A593">
        <v>10988</v>
      </c>
      <c r="B593" t="s">
        <v>220</v>
      </c>
      <c r="C593" s="6">
        <v>43190</v>
      </c>
      <c r="D593" s="6">
        <v>43218</v>
      </c>
      <c r="E593" s="6">
        <v>43200</v>
      </c>
      <c r="F593" s="3" t="s">
        <v>645</v>
      </c>
      <c r="G593" s="11">
        <v>305.7</v>
      </c>
      <c r="H593" s="3" t="s">
        <v>370</v>
      </c>
      <c r="I593" s="3" t="str">
        <f t="shared" si="9"/>
        <v>Mar</v>
      </c>
    </row>
    <row r="594" spans="1:9" x14ac:dyDescent="0.25">
      <c r="A594">
        <v>11000</v>
      </c>
      <c r="B594" t="s">
        <v>220</v>
      </c>
      <c r="C594" s="6">
        <v>43196</v>
      </c>
      <c r="D594" s="6">
        <v>43224</v>
      </c>
      <c r="E594" s="6">
        <v>43204</v>
      </c>
      <c r="F594" s="3" t="s">
        <v>646</v>
      </c>
      <c r="G594" s="11">
        <v>275.59999999999997</v>
      </c>
      <c r="H594" s="3" t="s">
        <v>370</v>
      </c>
      <c r="I594" s="3" t="str">
        <f t="shared" si="9"/>
        <v>Apr</v>
      </c>
    </row>
    <row r="595" spans="1:9" x14ac:dyDescent="0.25">
      <c r="A595">
        <v>11077</v>
      </c>
      <c r="B595" t="s">
        <v>220</v>
      </c>
      <c r="C595" s="6">
        <v>43226</v>
      </c>
      <c r="D595" s="6">
        <v>43254</v>
      </c>
      <c r="E595" s="6"/>
      <c r="F595" s="3" t="s">
        <v>645</v>
      </c>
      <c r="G595" s="11">
        <v>42.65</v>
      </c>
      <c r="H595" s="3" t="s">
        <v>370</v>
      </c>
      <c r="I595" s="3" t="str">
        <f t="shared" si="9"/>
        <v>May</v>
      </c>
    </row>
    <row r="596" spans="1:9" x14ac:dyDescent="0.25">
      <c r="A596">
        <v>10288</v>
      </c>
      <c r="B596" t="s">
        <v>225</v>
      </c>
      <c r="C596" s="6">
        <v>42605</v>
      </c>
      <c r="D596" s="6">
        <v>42633</v>
      </c>
      <c r="E596" s="6">
        <v>42616</v>
      </c>
      <c r="F596" s="3" t="s">
        <v>644</v>
      </c>
      <c r="G596" s="11">
        <v>37.25</v>
      </c>
      <c r="H596" s="3" t="s">
        <v>371</v>
      </c>
      <c r="I596" s="3" t="str">
        <f t="shared" si="9"/>
        <v>Aug</v>
      </c>
    </row>
    <row r="597" spans="1:9" x14ac:dyDescent="0.25">
      <c r="A597">
        <v>10428</v>
      </c>
      <c r="B597" t="s">
        <v>225</v>
      </c>
      <c r="C597" s="6">
        <v>42763</v>
      </c>
      <c r="D597" s="6">
        <v>42791</v>
      </c>
      <c r="E597" s="6">
        <v>42770</v>
      </c>
      <c r="F597" s="3" t="s">
        <v>644</v>
      </c>
      <c r="G597" s="11">
        <v>55.45</v>
      </c>
      <c r="H597" s="3" t="s">
        <v>371</v>
      </c>
      <c r="I597" s="3" t="str">
        <f t="shared" si="9"/>
        <v>Jan</v>
      </c>
    </row>
    <row r="598" spans="1:9" x14ac:dyDescent="0.25">
      <c r="A598">
        <v>10443</v>
      </c>
      <c r="B598" t="s">
        <v>225</v>
      </c>
      <c r="C598" s="6">
        <v>42778</v>
      </c>
      <c r="D598" s="6">
        <v>42806</v>
      </c>
      <c r="E598" s="6">
        <v>42780</v>
      </c>
      <c r="F598" s="3" t="s">
        <v>644</v>
      </c>
      <c r="G598" s="11">
        <v>69.75</v>
      </c>
      <c r="H598" s="3" t="s">
        <v>371</v>
      </c>
      <c r="I598" s="3" t="str">
        <f t="shared" si="9"/>
        <v>Feb</v>
      </c>
    </row>
    <row r="599" spans="1:9" x14ac:dyDescent="0.25">
      <c r="A599">
        <v>10562</v>
      </c>
      <c r="B599" t="s">
        <v>225</v>
      </c>
      <c r="C599" s="6">
        <v>42895</v>
      </c>
      <c r="D599" s="6">
        <v>42923</v>
      </c>
      <c r="E599" s="6">
        <v>42898</v>
      </c>
      <c r="F599" s="3" t="s">
        <v>644</v>
      </c>
      <c r="G599" s="11">
        <v>114.75</v>
      </c>
      <c r="H599" s="3" t="s">
        <v>371</v>
      </c>
      <c r="I599" s="3" t="str">
        <f t="shared" si="9"/>
        <v>Jun</v>
      </c>
    </row>
    <row r="600" spans="1:9" x14ac:dyDescent="0.25">
      <c r="A600">
        <v>10586</v>
      </c>
      <c r="B600" t="s">
        <v>225</v>
      </c>
      <c r="C600" s="6">
        <v>42918</v>
      </c>
      <c r="D600" s="6">
        <v>42946</v>
      </c>
      <c r="E600" s="6">
        <v>42925</v>
      </c>
      <c r="F600" s="3" t="s">
        <v>644</v>
      </c>
      <c r="G600" s="11">
        <v>2.4</v>
      </c>
      <c r="H600" s="3" t="s">
        <v>371</v>
      </c>
      <c r="I600" s="3" t="str">
        <f t="shared" si="9"/>
        <v>Jul</v>
      </c>
    </row>
    <row r="601" spans="1:9" x14ac:dyDescent="0.25">
      <c r="A601">
        <v>10655</v>
      </c>
      <c r="B601" t="s">
        <v>225</v>
      </c>
      <c r="C601" s="6">
        <v>42981</v>
      </c>
      <c r="D601" s="6">
        <v>43009</v>
      </c>
      <c r="E601" s="6">
        <v>42989</v>
      </c>
      <c r="F601" s="3" t="s">
        <v>645</v>
      </c>
      <c r="G601" s="11">
        <v>22.05</v>
      </c>
      <c r="H601" s="3" t="s">
        <v>371</v>
      </c>
      <c r="I601" s="3" t="str">
        <f t="shared" si="9"/>
        <v>Sep</v>
      </c>
    </row>
    <row r="602" spans="1:9" x14ac:dyDescent="0.25">
      <c r="A602">
        <v>10727</v>
      </c>
      <c r="B602" t="s">
        <v>225</v>
      </c>
      <c r="C602" s="6">
        <v>43042</v>
      </c>
      <c r="D602" s="6">
        <v>43070</v>
      </c>
      <c r="E602" s="6">
        <v>43074</v>
      </c>
      <c r="F602" s="3" t="s">
        <v>644</v>
      </c>
      <c r="G602" s="11">
        <v>449.5</v>
      </c>
      <c r="H602" s="3" t="s">
        <v>371</v>
      </c>
      <c r="I602" s="3" t="str">
        <f t="shared" si="9"/>
        <v>Nov</v>
      </c>
    </row>
    <row r="603" spans="1:9" x14ac:dyDescent="0.25">
      <c r="A603">
        <v>10812</v>
      </c>
      <c r="B603" t="s">
        <v>225</v>
      </c>
      <c r="C603" s="6">
        <v>43102</v>
      </c>
      <c r="D603" s="6">
        <v>43130</v>
      </c>
      <c r="E603" s="6">
        <v>43112</v>
      </c>
      <c r="F603" s="3" t="s">
        <v>644</v>
      </c>
      <c r="G603" s="11">
        <v>298.89999999999998</v>
      </c>
      <c r="H603" s="3" t="s">
        <v>371</v>
      </c>
      <c r="I603" s="3" t="str">
        <f t="shared" si="9"/>
        <v>Jan</v>
      </c>
    </row>
    <row r="604" spans="1:9" x14ac:dyDescent="0.25">
      <c r="A604">
        <v>10908</v>
      </c>
      <c r="B604" t="s">
        <v>225</v>
      </c>
      <c r="C604" s="6">
        <v>43157</v>
      </c>
      <c r="D604" s="6">
        <v>43185</v>
      </c>
      <c r="E604" s="6">
        <v>43165</v>
      </c>
      <c r="F604" s="3" t="s">
        <v>645</v>
      </c>
      <c r="G604" s="11">
        <v>164.8</v>
      </c>
      <c r="H604" s="3" t="s">
        <v>371</v>
      </c>
      <c r="I604" s="3" t="str">
        <f t="shared" si="9"/>
        <v>Feb</v>
      </c>
    </row>
    <row r="605" spans="1:9" x14ac:dyDescent="0.25">
      <c r="A605">
        <v>10942</v>
      </c>
      <c r="B605" t="s">
        <v>225</v>
      </c>
      <c r="C605" s="6">
        <v>43170</v>
      </c>
      <c r="D605" s="6">
        <v>43198</v>
      </c>
      <c r="E605" s="6">
        <v>43177</v>
      </c>
      <c r="F605" s="3" t="s">
        <v>646</v>
      </c>
      <c r="G605" s="11">
        <v>89.75</v>
      </c>
      <c r="H605" s="3" t="s">
        <v>371</v>
      </c>
      <c r="I605" s="3" t="str">
        <f t="shared" si="9"/>
        <v>Mar</v>
      </c>
    </row>
    <row r="606" spans="1:9" x14ac:dyDescent="0.25">
      <c r="A606">
        <v>11010</v>
      </c>
      <c r="B606" t="s">
        <v>225</v>
      </c>
      <c r="C606" s="6">
        <v>43199</v>
      </c>
      <c r="D606" s="6">
        <v>43227</v>
      </c>
      <c r="E606" s="6">
        <v>43211</v>
      </c>
      <c r="F606" s="3" t="s">
        <v>645</v>
      </c>
      <c r="G606" s="11">
        <v>143.55000000000001</v>
      </c>
      <c r="H606" s="3" t="s">
        <v>371</v>
      </c>
      <c r="I606" s="3" t="str">
        <f t="shared" si="9"/>
        <v>Apr</v>
      </c>
    </row>
    <row r="607" spans="1:9" x14ac:dyDescent="0.25">
      <c r="A607">
        <v>11062</v>
      </c>
      <c r="B607" t="s">
        <v>225</v>
      </c>
      <c r="C607" s="6">
        <v>43220</v>
      </c>
      <c r="D607" s="6">
        <v>43248</v>
      </c>
      <c r="E607" s="6"/>
      <c r="F607" s="3" t="s">
        <v>645</v>
      </c>
      <c r="G607" s="11">
        <v>149.65</v>
      </c>
      <c r="H607" s="3" t="s">
        <v>371</v>
      </c>
      <c r="I607" s="3" t="str">
        <f t="shared" si="9"/>
        <v>Apr</v>
      </c>
    </row>
    <row r="608" spans="1:9" x14ac:dyDescent="0.25">
      <c r="A608">
        <v>10287</v>
      </c>
      <c r="B608" t="s">
        <v>228</v>
      </c>
      <c r="C608" s="6">
        <v>42604</v>
      </c>
      <c r="D608" s="6">
        <v>42632</v>
      </c>
      <c r="E608" s="6">
        <v>42610</v>
      </c>
      <c r="F608" s="3" t="s">
        <v>646</v>
      </c>
      <c r="G608" s="11">
        <v>63.8</v>
      </c>
      <c r="H608" s="3" t="s">
        <v>8</v>
      </c>
      <c r="I608" s="3" t="str">
        <f t="shared" si="9"/>
        <v>Aug</v>
      </c>
    </row>
    <row r="609" spans="1:9" x14ac:dyDescent="0.25">
      <c r="A609">
        <v>10299</v>
      </c>
      <c r="B609" t="s">
        <v>228</v>
      </c>
      <c r="C609" s="6">
        <v>42619</v>
      </c>
      <c r="D609" s="6">
        <v>42647</v>
      </c>
      <c r="E609" s="6">
        <v>42626</v>
      </c>
      <c r="F609" s="3" t="s">
        <v>645</v>
      </c>
      <c r="G609" s="11">
        <v>148.80000000000001</v>
      </c>
      <c r="H609" s="3" t="s">
        <v>8</v>
      </c>
      <c r="I609" s="3" t="str">
        <f t="shared" si="9"/>
        <v>Sep</v>
      </c>
    </row>
    <row r="610" spans="1:9" x14ac:dyDescent="0.25">
      <c r="A610">
        <v>10447</v>
      </c>
      <c r="B610" t="s">
        <v>228</v>
      </c>
      <c r="C610" s="6">
        <v>42780</v>
      </c>
      <c r="D610" s="6">
        <v>42808</v>
      </c>
      <c r="E610" s="6">
        <v>42801</v>
      </c>
      <c r="F610" s="3" t="s">
        <v>645</v>
      </c>
      <c r="G610" s="11">
        <v>343.29999999999995</v>
      </c>
      <c r="H610" s="3" t="s">
        <v>8</v>
      </c>
      <c r="I610" s="3" t="str">
        <f t="shared" si="9"/>
        <v>Feb</v>
      </c>
    </row>
    <row r="611" spans="1:9" x14ac:dyDescent="0.25">
      <c r="A611">
        <v>10481</v>
      </c>
      <c r="B611" t="s">
        <v>228</v>
      </c>
      <c r="C611" s="6">
        <v>42814</v>
      </c>
      <c r="D611" s="6">
        <v>42842</v>
      </c>
      <c r="E611" s="6">
        <v>42819</v>
      </c>
      <c r="F611" s="3" t="s">
        <v>645</v>
      </c>
      <c r="G611" s="11">
        <v>321.64999999999998</v>
      </c>
      <c r="H611" s="3" t="s">
        <v>8</v>
      </c>
      <c r="I611" s="3" t="str">
        <f t="shared" si="9"/>
        <v>Mar</v>
      </c>
    </row>
    <row r="612" spans="1:9" x14ac:dyDescent="0.25">
      <c r="A612">
        <v>10563</v>
      </c>
      <c r="B612" t="s">
        <v>228</v>
      </c>
      <c r="C612" s="6">
        <v>42896</v>
      </c>
      <c r="D612" s="6">
        <v>42938</v>
      </c>
      <c r="E612" s="6">
        <v>42910</v>
      </c>
      <c r="F612" s="3" t="s">
        <v>645</v>
      </c>
      <c r="G612" s="11">
        <v>302.14999999999998</v>
      </c>
      <c r="H612" s="3" t="s">
        <v>8</v>
      </c>
      <c r="I612" s="3" t="str">
        <f t="shared" si="9"/>
        <v>Jun</v>
      </c>
    </row>
    <row r="613" spans="1:9" x14ac:dyDescent="0.25">
      <c r="A613">
        <v>10622</v>
      </c>
      <c r="B613" t="s">
        <v>228</v>
      </c>
      <c r="C613" s="6">
        <v>42953</v>
      </c>
      <c r="D613" s="6">
        <v>42981</v>
      </c>
      <c r="E613" s="6">
        <v>42958</v>
      </c>
      <c r="F613" s="3" t="s">
        <v>646</v>
      </c>
      <c r="G613" s="11">
        <v>254.85</v>
      </c>
      <c r="H613" s="3" t="s">
        <v>8</v>
      </c>
      <c r="I613" s="3" t="str">
        <f t="shared" si="9"/>
        <v>Aug</v>
      </c>
    </row>
    <row r="614" spans="1:9" x14ac:dyDescent="0.25">
      <c r="A614">
        <v>10648</v>
      </c>
      <c r="B614" t="s">
        <v>228</v>
      </c>
      <c r="C614" s="6">
        <v>42975</v>
      </c>
      <c r="D614" s="6">
        <v>43017</v>
      </c>
      <c r="E614" s="6">
        <v>42987</v>
      </c>
      <c r="F614" s="3" t="s">
        <v>645</v>
      </c>
      <c r="G614" s="11">
        <v>71.25</v>
      </c>
      <c r="H614" s="3" t="s">
        <v>8</v>
      </c>
      <c r="I614" s="3" t="str">
        <f t="shared" si="9"/>
        <v>Aug</v>
      </c>
    </row>
    <row r="615" spans="1:9" x14ac:dyDescent="0.25">
      <c r="A615">
        <v>10813</v>
      </c>
      <c r="B615" t="s">
        <v>228</v>
      </c>
      <c r="C615" s="6">
        <v>43105</v>
      </c>
      <c r="D615" s="6">
        <v>43133</v>
      </c>
      <c r="E615" s="6">
        <v>43109</v>
      </c>
      <c r="F615" s="3" t="s">
        <v>644</v>
      </c>
      <c r="G615" s="11">
        <v>236.9</v>
      </c>
      <c r="H615" s="3" t="s">
        <v>8</v>
      </c>
      <c r="I615" s="3" t="str">
        <f t="shared" si="9"/>
        <v>Jan</v>
      </c>
    </row>
    <row r="616" spans="1:9" x14ac:dyDescent="0.25">
      <c r="A616">
        <v>10851</v>
      </c>
      <c r="B616" t="s">
        <v>228</v>
      </c>
      <c r="C616" s="6">
        <v>43126</v>
      </c>
      <c r="D616" s="6">
        <v>43154</v>
      </c>
      <c r="E616" s="6">
        <v>43133</v>
      </c>
      <c r="F616" s="3" t="s">
        <v>644</v>
      </c>
      <c r="G616" s="11">
        <v>802.75</v>
      </c>
      <c r="H616" s="3" t="s">
        <v>8</v>
      </c>
      <c r="I616" s="3" t="str">
        <f t="shared" si="9"/>
        <v>Jan</v>
      </c>
    </row>
    <row r="617" spans="1:9" x14ac:dyDescent="0.25">
      <c r="A617">
        <v>10877</v>
      </c>
      <c r="B617" t="s">
        <v>228</v>
      </c>
      <c r="C617" s="6">
        <v>43140</v>
      </c>
      <c r="D617" s="6">
        <v>43168</v>
      </c>
      <c r="E617" s="6">
        <v>43150</v>
      </c>
      <c r="F617" s="3" t="s">
        <v>644</v>
      </c>
      <c r="G617" s="11">
        <v>190.3</v>
      </c>
      <c r="H617" s="3" t="s">
        <v>8</v>
      </c>
      <c r="I617" s="3" t="str">
        <f t="shared" si="9"/>
        <v>Feb</v>
      </c>
    </row>
    <row r="618" spans="1:9" x14ac:dyDescent="0.25">
      <c r="A618">
        <v>11059</v>
      </c>
      <c r="B618" t="s">
        <v>228</v>
      </c>
      <c r="C618" s="6">
        <v>43219</v>
      </c>
      <c r="D618" s="6">
        <v>43261</v>
      </c>
      <c r="E618" s="6"/>
      <c r="F618" s="3" t="s">
        <v>645</v>
      </c>
      <c r="G618" s="11">
        <v>429</v>
      </c>
      <c r="H618" s="3" t="s">
        <v>8</v>
      </c>
      <c r="I618" s="3" t="str">
        <f t="shared" si="9"/>
        <v>Apr</v>
      </c>
    </row>
    <row r="619" spans="1:9" x14ac:dyDescent="0.25">
      <c r="A619">
        <v>10255</v>
      </c>
      <c r="B619" t="s">
        <v>230</v>
      </c>
      <c r="C619" s="6">
        <v>42563</v>
      </c>
      <c r="D619" s="6">
        <v>42591</v>
      </c>
      <c r="E619" s="6">
        <v>42566</v>
      </c>
      <c r="F619" s="3" t="s">
        <v>646</v>
      </c>
      <c r="G619" s="11">
        <v>741.65000000000009</v>
      </c>
      <c r="H619" s="3" t="s">
        <v>7</v>
      </c>
      <c r="I619" s="3" t="str">
        <f t="shared" si="9"/>
        <v>Jul</v>
      </c>
    </row>
    <row r="620" spans="1:9" x14ac:dyDescent="0.25">
      <c r="A620">
        <v>10419</v>
      </c>
      <c r="B620" t="s">
        <v>230</v>
      </c>
      <c r="C620" s="6">
        <v>42755</v>
      </c>
      <c r="D620" s="6">
        <v>42783</v>
      </c>
      <c r="E620" s="6">
        <v>42765</v>
      </c>
      <c r="F620" s="3" t="s">
        <v>645</v>
      </c>
      <c r="G620" s="11">
        <v>686.75</v>
      </c>
      <c r="H620" s="3" t="s">
        <v>7</v>
      </c>
      <c r="I620" s="3" t="str">
        <f t="shared" si="9"/>
        <v>Jan</v>
      </c>
    </row>
    <row r="621" spans="1:9" x14ac:dyDescent="0.25">
      <c r="A621">
        <v>10537</v>
      </c>
      <c r="B621" t="s">
        <v>230</v>
      </c>
      <c r="C621" s="6">
        <v>42869</v>
      </c>
      <c r="D621" s="6">
        <v>42883</v>
      </c>
      <c r="E621" s="6">
        <v>42874</v>
      </c>
      <c r="F621" s="3" t="s">
        <v>644</v>
      </c>
      <c r="G621" s="11">
        <v>394.25</v>
      </c>
      <c r="H621" s="3" t="s">
        <v>7</v>
      </c>
      <c r="I621" s="3" t="str">
        <f t="shared" si="9"/>
        <v>May</v>
      </c>
    </row>
    <row r="622" spans="1:9" x14ac:dyDescent="0.25">
      <c r="A622">
        <v>10666</v>
      </c>
      <c r="B622" t="s">
        <v>230</v>
      </c>
      <c r="C622" s="6">
        <v>42990</v>
      </c>
      <c r="D622" s="6">
        <v>43018</v>
      </c>
      <c r="E622" s="6">
        <v>43000</v>
      </c>
      <c r="F622" s="3" t="s">
        <v>645</v>
      </c>
      <c r="G622" s="11">
        <v>1162.0999999999999</v>
      </c>
      <c r="H622" s="3" t="s">
        <v>7</v>
      </c>
      <c r="I622" s="3" t="str">
        <f t="shared" si="9"/>
        <v>Sep</v>
      </c>
    </row>
    <row r="623" spans="1:9" x14ac:dyDescent="0.25">
      <c r="A623">
        <v>10751</v>
      </c>
      <c r="B623" t="s">
        <v>230</v>
      </c>
      <c r="C623" s="6">
        <v>43063</v>
      </c>
      <c r="D623" s="6">
        <v>43091</v>
      </c>
      <c r="E623" s="6">
        <v>43072</v>
      </c>
      <c r="F623" s="3" t="s">
        <v>646</v>
      </c>
      <c r="G623" s="11">
        <v>653.94999999999993</v>
      </c>
      <c r="H623" s="3" t="s">
        <v>7</v>
      </c>
      <c r="I623" s="3" t="str">
        <f t="shared" si="9"/>
        <v>Nov</v>
      </c>
    </row>
    <row r="624" spans="1:9" x14ac:dyDescent="0.25">
      <c r="A624">
        <v>10758</v>
      </c>
      <c r="B624" t="s">
        <v>230</v>
      </c>
      <c r="C624" s="6">
        <v>43067</v>
      </c>
      <c r="D624" s="6">
        <v>43095</v>
      </c>
      <c r="E624" s="6">
        <v>43073</v>
      </c>
      <c r="F624" s="3" t="s">
        <v>646</v>
      </c>
      <c r="G624" s="11">
        <v>690.84999999999991</v>
      </c>
      <c r="H624" s="3" t="s">
        <v>7</v>
      </c>
      <c r="I624" s="3" t="str">
        <f t="shared" si="9"/>
        <v>Nov</v>
      </c>
    </row>
    <row r="625" spans="1:9" x14ac:dyDescent="0.25">
      <c r="A625">
        <v>10931</v>
      </c>
      <c r="B625" t="s">
        <v>230</v>
      </c>
      <c r="C625" s="6">
        <v>43165</v>
      </c>
      <c r="D625" s="6">
        <v>43179</v>
      </c>
      <c r="E625" s="6">
        <v>43178</v>
      </c>
      <c r="F625" s="3" t="s">
        <v>645</v>
      </c>
      <c r="G625" s="11">
        <v>68</v>
      </c>
      <c r="H625" s="3" t="s">
        <v>7</v>
      </c>
      <c r="I625" s="3" t="str">
        <f t="shared" si="9"/>
        <v>Mar</v>
      </c>
    </row>
    <row r="626" spans="1:9" x14ac:dyDescent="0.25">
      <c r="A626">
        <v>10951</v>
      </c>
      <c r="B626" t="s">
        <v>230</v>
      </c>
      <c r="C626" s="6">
        <v>43175</v>
      </c>
      <c r="D626" s="6">
        <v>43217</v>
      </c>
      <c r="E626" s="6">
        <v>43197</v>
      </c>
      <c r="F626" s="3" t="s">
        <v>645</v>
      </c>
      <c r="G626" s="11">
        <v>154.25</v>
      </c>
      <c r="H626" s="3" t="s">
        <v>7</v>
      </c>
      <c r="I626" s="3" t="str">
        <f t="shared" si="9"/>
        <v>Mar</v>
      </c>
    </row>
    <row r="627" spans="1:9" x14ac:dyDescent="0.25">
      <c r="A627">
        <v>11033</v>
      </c>
      <c r="B627" t="s">
        <v>230</v>
      </c>
      <c r="C627" s="6">
        <v>43207</v>
      </c>
      <c r="D627" s="6">
        <v>43235</v>
      </c>
      <c r="E627" s="6">
        <v>43213</v>
      </c>
      <c r="F627" s="3" t="s">
        <v>646</v>
      </c>
      <c r="G627" s="11">
        <v>423.7</v>
      </c>
      <c r="H627" s="3" t="s">
        <v>7</v>
      </c>
      <c r="I627" s="3" t="str">
        <f t="shared" si="9"/>
        <v>Apr</v>
      </c>
    </row>
    <row r="628" spans="1:9" x14ac:dyDescent="0.25">
      <c r="A628">
        <v>11075</v>
      </c>
      <c r="B628" t="s">
        <v>230</v>
      </c>
      <c r="C628" s="6">
        <v>43226</v>
      </c>
      <c r="D628" s="6">
        <v>43254</v>
      </c>
      <c r="E628" s="6"/>
      <c r="F628" s="3" t="s">
        <v>645</v>
      </c>
      <c r="G628" s="11">
        <v>30.950000000000003</v>
      </c>
      <c r="H628" s="3" t="s">
        <v>7</v>
      </c>
      <c r="I628" s="3" t="str">
        <f t="shared" si="9"/>
        <v>May</v>
      </c>
    </row>
    <row r="629" spans="1:9" x14ac:dyDescent="0.25">
      <c r="A629">
        <v>10281</v>
      </c>
      <c r="B629" t="s">
        <v>232</v>
      </c>
      <c r="C629" s="6">
        <v>42596</v>
      </c>
      <c r="D629" s="6">
        <v>42610</v>
      </c>
      <c r="E629" s="6">
        <v>42603</v>
      </c>
      <c r="F629" s="3" t="s">
        <v>644</v>
      </c>
      <c r="G629" s="11">
        <v>14.7</v>
      </c>
      <c r="H629" s="3" t="s">
        <v>372</v>
      </c>
      <c r="I629" s="3" t="str">
        <f t="shared" si="9"/>
        <v>Aug</v>
      </c>
    </row>
    <row r="630" spans="1:9" x14ac:dyDescent="0.25">
      <c r="A630">
        <v>10282</v>
      </c>
      <c r="B630" t="s">
        <v>232</v>
      </c>
      <c r="C630" s="6">
        <v>42597</v>
      </c>
      <c r="D630" s="6">
        <v>42625</v>
      </c>
      <c r="E630" s="6">
        <v>42603</v>
      </c>
      <c r="F630" s="3" t="s">
        <v>644</v>
      </c>
      <c r="G630" s="11">
        <v>63.449999999999996</v>
      </c>
      <c r="H630" s="3" t="s">
        <v>372</v>
      </c>
      <c r="I630" s="3" t="str">
        <f t="shared" si="9"/>
        <v>Aug</v>
      </c>
    </row>
    <row r="631" spans="1:9" x14ac:dyDescent="0.25">
      <c r="A631">
        <v>10306</v>
      </c>
      <c r="B631" t="s">
        <v>232</v>
      </c>
      <c r="C631" s="6">
        <v>42629</v>
      </c>
      <c r="D631" s="6">
        <v>42657</v>
      </c>
      <c r="E631" s="6">
        <v>42636</v>
      </c>
      <c r="F631" s="3" t="s">
        <v>646</v>
      </c>
      <c r="G631" s="11">
        <v>37.799999999999997</v>
      </c>
      <c r="H631" s="3" t="s">
        <v>372</v>
      </c>
      <c r="I631" s="3" t="str">
        <f t="shared" si="9"/>
        <v>Sep</v>
      </c>
    </row>
    <row r="632" spans="1:9" x14ac:dyDescent="0.25">
      <c r="A632">
        <v>10917</v>
      </c>
      <c r="B632" t="s">
        <v>232</v>
      </c>
      <c r="C632" s="6">
        <v>43161</v>
      </c>
      <c r="D632" s="6">
        <v>43189</v>
      </c>
      <c r="E632" s="6">
        <v>43170</v>
      </c>
      <c r="F632" s="3" t="s">
        <v>645</v>
      </c>
      <c r="G632" s="11">
        <v>41.449999999999996</v>
      </c>
      <c r="H632" s="3" t="s">
        <v>372</v>
      </c>
      <c r="I632" s="3" t="str">
        <f t="shared" si="9"/>
        <v>Mar</v>
      </c>
    </row>
    <row r="633" spans="1:9" x14ac:dyDescent="0.25">
      <c r="A633">
        <v>11013</v>
      </c>
      <c r="B633" t="s">
        <v>232</v>
      </c>
      <c r="C633" s="6">
        <v>43199</v>
      </c>
      <c r="D633" s="6">
        <v>43227</v>
      </c>
      <c r="E633" s="6">
        <v>43200</v>
      </c>
      <c r="F633" s="3" t="s">
        <v>644</v>
      </c>
      <c r="G633" s="11">
        <v>164.95000000000002</v>
      </c>
      <c r="H633" s="3" t="s">
        <v>372</v>
      </c>
      <c r="I633" s="3" t="str">
        <f t="shared" si="9"/>
        <v>Apr</v>
      </c>
    </row>
    <row r="634" spans="1:9" x14ac:dyDescent="0.25">
      <c r="A634">
        <v>10387</v>
      </c>
      <c r="B634" t="s">
        <v>235</v>
      </c>
      <c r="C634" s="6">
        <v>42722</v>
      </c>
      <c r="D634" s="6">
        <v>42750</v>
      </c>
      <c r="E634" s="6">
        <v>42724</v>
      </c>
      <c r="F634" s="3" t="s">
        <v>645</v>
      </c>
      <c r="G634" s="11">
        <v>468.15</v>
      </c>
      <c r="H634" s="3" t="s">
        <v>373</v>
      </c>
      <c r="I634" s="3" t="str">
        <f t="shared" si="9"/>
        <v>Dec</v>
      </c>
    </row>
    <row r="635" spans="1:9" x14ac:dyDescent="0.25">
      <c r="A635">
        <v>10520</v>
      </c>
      <c r="B635" t="s">
        <v>235</v>
      </c>
      <c r="C635" s="6">
        <v>42854</v>
      </c>
      <c r="D635" s="6">
        <v>42882</v>
      </c>
      <c r="E635" s="6">
        <v>42856</v>
      </c>
      <c r="F635" s="3" t="s">
        <v>644</v>
      </c>
      <c r="G635" s="11">
        <v>66.849999999999994</v>
      </c>
      <c r="H635" s="3" t="s">
        <v>373</v>
      </c>
      <c r="I635" s="3" t="str">
        <f t="shared" si="9"/>
        <v>Apr</v>
      </c>
    </row>
    <row r="636" spans="1:9" x14ac:dyDescent="0.25">
      <c r="A636">
        <v>10639</v>
      </c>
      <c r="B636" t="s">
        <v>235</v>
      </c>
      <c r="C636" s="6">
        <v>42967</v>
      </c>
      <c r="D636" s="6">
        <v>42995</v>
      </c>
      <c r="E636" s="6">
        <v>42974</v>
      </c>
      <c r="F636" s="3" t="s">
        <v>646</v>
      </c>
      <c r="G636" s="11">
        <v>193.2</v>
      </c>
      <c r="H636" s="3" t="s">
        <v>373</v>
      </c>
      <c r="I636" s="3" t="str">
        <f t="shared" si="9"/>
        <v>Aug</v>
      </c>
    </row>
    <row r="637" spans="1:9" x14ac:dyDescent="0.25">
      <c r="A637">
        <v>10831</v>
      </c>
      <c r="B637" t="s">
        <v>235</v>
      </c>
      <c r="C637" s="6">
        <v>43114</v>
      </c>
      <c r="D637" s="6">
        <v>43142</v>
      </c>
      <c r="E637" s="6">
        <v>43123</v>
      </c>
      <c r="F637" s="3" t="s">
        <v>645</v>
      </c>
      <c r="G637" s="11">
        <v>360.95</v>
      </c>
      <c r="H637" s="3" t="s">
        <v>373</v>
      </c>
      <c r="I637" s="3" t="str">
        <f t="shared" si="9"/>
        <v>Jan</v>
      </c>
    </row>
    <row r="638" spans="1:9" x14ac:dyDescent="0.25">
      <c r="A638">
        <v>10909</v>
      </c>
      <c r="B638" t="s">
        <v>235</v>
      </c>
      <c r="C638" s="6">
        <v>43157</v>
      </c>
      <c r="D638" s="6">
        <v>43185</v>
      </c>
      <c r="E638" s="6">
        <v>43169</v>
      </c>
      <c r="F638" s="3" t="s">
        <v>645</v>
      </c>
      <c r="G638" s="11">
        <v>265.25</v>
      </c>
      <c r="H638" s="3" t="s">
        <v>373</v>
      </c>
      <c r="I638" s="3" t="str">
        <f t="shared" si="9"/>
        <v>Feb</v>
      </c>
    </row>
    <row r="639" spans="1:9" x14ac:dyDescent="0.25">
      <c r="A639">
        <v>11015</v>
      </c>
      <c r="B639" t="s">
        <v>235</v>
      </c>
      <c r="C639" s="6">
        <v>43200</v>
      </c>
      <c r="D639" s="6">
        <v>43214</v>
      </c>
      <c r="E639" s="6">
        <v>43210</v>
      </c>
      <c r="F639" s="3" t="s">
        <v>645</v>
      </c>
      <c r="G639" s="11">
        <v>23.1</v>
      </c>
      <c r="H639" s="3" t="s">
        <v>373</v>
      </c>
      <c r="I639" s="3" t="str">
        <f t="shared" si="9"/>
        <v>Apr</v>
      </c>
    </row>
    <row r="640" spans="1:9" x14ac:dyDescent="0.25">
      <c r="A640">
        <v>10324</v>
      </c>
      <c r="B640" t="s">
        <v>238</v>
      </c>
      <c r="C640" s="6">
        <v>42651</v>
      </c>
      <c r="D640" s="6">
        <v>42679</v>
      </c>
      <c r="E640" s="6">
        <v>42653</v>
      </c>
      <c r="F640" s="3" t="s">
        <v>644</v>
      </c>
      <c r="G640" s="11">
        <v>1071.3500000000001</v>
      </c>
      <c r="H640" s="3" t="s">
        <v>374</v>
      </c>
      <c r="I640" s="3" t="str">
        <f t="shared" si="9"/>
        <v>Oct</v>
      </c>
    </row>
    <row r="641" spans="1:9" x14ac:dyDescent="0.25">
      <c r="A641">
        <v>10393</v>
      </c>
      <c r="B641" t="s">
        <v>238</v>
      </c>
      <c r="C641" s="6">
        <v>42729</v>
      </c>
      <c r="D641" s="6">
        <v>42757</v>
      </c>
      <c r="E641" s="6">
        <v>42738</v>
      </c>
      <c r="F641" s="3" t="s">
        <v>646</v>
      </c>
      <c r="G641" s="11">
        <v>632.79999999999995</v>
      </c>
      <c r="H641" s="3" t="s">
        <v>374</v>
      </c>
      <c r="I641" s="3" t="str">
        <f t="shared" si="9"/>
        <v>Dec</v>
      </c>
    </row>
    <row r="642" spans="1:9" x14ac:dyDescent="0.25">
      <c r="A642">
        <v>10398</v>
      </c>
      <c r="B642" t="s">
        <v>238</v>
      </c>
      <c r="C642" s="6">
        <v>42734</v>
      </c>
      <c r="D642" s="6">
        <v>42762</v>
      </c>
      <c r="E642" s="6">
        <v>42744</v>
      </c>
      <c r="F642" s="3" t="s">
        <v>646</v>
      </c>
      <c r="G642" s="11">
        <v>445.79999999999995</v>
      </c>
      <c r="H642" s="3" t="s">
        <v>374</v>
      </c>
      <c r="I642" s="3" t="str">
        <f t="shared" si="9"/>
        <v>Dec</v>
      </c>
    </row>
    <row r="643" spans="1:9" x14ac:dyDescent="0.25">
      <c r="A643">
        <v>10440</v>
      </c>
      <c r="B643" t="s">
        <v>238</v>
      </c>
      <c r="C643" s="6">
        <v>42776</v>
      </c>
      <c r="D643" s="6">
        <v>42804</v>
      </c>
      <c r="E643" s="6">
        <v>42794</v>
      </c>
      <c r="F643" s="3" t="s">
        <v>645</v>
      </c>
      <c r="G643" s="11">
        <v>432.65</v>
      </c>
      <c r="H643" s="3" t="s">
        <v>374</v>
      </c>
      <c r="I643" s="3" t="str">
        <f t="shared" ref="I643:I706" si="10">TEXT(C643,"mmm")</f>
        <v>Feb</v>
      </c>
    </row>
    <row r="644" spans="1:9" x14ac:dyDescent="0.25">
      <c r="A644">
        <v>10452</v>
      </c>
      <c r="B644" t="s">
        <v>238</v>
      </c>
      <c r="C644" s="6">
        <v>42786</v>
      </c>
      <c r="D644" s="6">
        <v>42814</v>
      </c>
      <c r="E644" s="6">
        <v>42792</v>
      </c>
      <c r="F644" s="3" t="s">
        <v>644</v>
      </c>
      <c r="G644" s="11">
        <v>701.3</v>
      </c>
      <c r="H644" s="3" t="s">
        <v>374</v>
      </c>
      <c r="I644" s="3" t="str">
        <f t="shared" si="10"/>
        <v>Feb</v>
      </c>
    </row>
    <row r="645" spans="1:9" x14ac:dyDescent="0.25">
      <c r="A645">
        <v>10510</v>
      </c>
      <c r="B645" t="s">
        <v>238</v>
      </c>
      <c r="C645" s="6">
        <v>42843</v>
      </c>
      <c r="D645" s="6">
        <v>42871</v>
      </c>
      <c r="E645" s="6">
        <v>42853</v>
      </c>
      <c r="F645" s="3" t="s">
        <v>646</v>
      </c>
      <c r="G645" s="11">
        <v>1838.15</v>
      </c>
      <c r="H645" s="3" t="s">
        <v>374</v>
      </c>
      <c r="I645" s="3" t="str">
        <f t="shared" si="10"/>
        <v>Apr</v>
      </c>
    </row>
    <row r="646" spans="1:9" x14ac:dyDescent="0.25">
      <c r="A646">
        <v>10555</v>
      </c>
      <c r="B646" t="s">
        <v>238</v>
      </c>
      <c r="C646" s="6">
        <v>42888</v>
      </c>
      <c r="D646" s="6">
        <v>42916</v>
      </c>
      <c r="E646" s="6">
        <v>42890</v>
      </c>
      <c r="F646" s="3" t="s">
        <v>646</v>
      </c>
      <c r="G646" s="11">
        <v>1262.45</v>
      </c>
      <c r="H646" s="3" t="s">
        <v>374</v>
      </c>
      <c r="I646" s="3" t="str">
        <f t="shared" si="10"/>
        <v>Jun</v>
      </c>
    </row>
    <row r="647" spans="1:9" x14ac:dyDescent="0.25">
      <c r="A647">
        <v>10603</v>
      </c>
      <c r="B647" t="s">
        <v>238</v>
      </c>
      <c r="C647" s="6">
        <v>42934</v>
      </c>
      <c r="D647" s="6">
        <v>42962</v>
      </c>
      <c r="E647" s="6">
        <v>42955</v>
      </c>
      <c r="F647" s="3" t="s">
        <v>645</v>
      </c>
      <c r="G647" s="11">
        <v>243.85000000000002</v>
      </c>
      <c r="H647" s="3" t="s">
        <v>374</v>
      </c>
      <c r="I647" s="3" t="str">
        <f t="shared" si="10"/>
        <v>Jul</v>
      </c>
    </row>
    <row r="648" spans="1:9" x14ac:dyDescent="0.25">
      <c r="A648">
        <v>10607</v>
      </c>
      <c r="B648" t="s">
        <v>238</v>
      </c>
      <c r="C648" s="6">
        <v>42938</v>
      </c>
      <c r="D648" s="6">
        <v>42966</v>
      </c>
      <c r="E648" s="6">
        <v>42941</v>
      </c>
      <c r="F648" s="3" t="s">
        <v>644</v>
      </c>
      <c r="G648" s="11">
        <v>1001.2</v>
      </c>
      <c r="H648" s="3" t="s">
        <v>374</v>
      </c>
      <c r="I648" s="3" t="str">
        <f t="shared" si="10"/>
        <v>Jul</v>
      </c>
    </row>
    <row r="649" spans="1:9" x14ac:dyDescent="0.25">
      <c r="A649">
        <v>10612</v>
      </c>
      <c r="B649" t="s">
        <v>238</v>
      </c>
      <c r="C649" s="6">
        <v>42944</v>
      </c>
      <c r="D649" s="6">
        <v>42972</v>
      </c>
      <c r="E649" s="6">
        <v>42948</v>
      </c>
      <c r="F649" s="3" t="s">
        <v>645</v>
      </c>
      <c r="G649" s="11">
        <v>2720.4</v>
      </c>
      <c r="H649" s="3" t="s">
        <v>374</v>
      </c>
      <c r="I649" s="3" t="str">
        <f t="shared" si="10"/>
        <v>Jul</v>
      </c>
    </row>
    <row r="650" spans="1:9" x14ac:dyDescent="0.25">
      <c r="A650">
        <v>10627</v>
      </c>
      <c r="B650" t="s">
        <v>238</v>
      </c>
      <c r="C650" s="6">
        <v>42958</v>
      </c>
      <c r="D650" s="6">
        <v>43000</v>
      </c>
      <c r="E650" s="6">
        <v>42968</v>
      </c>
      <c r="F650" s="3" t="s">
        <v>646</v>
      </c>
      <c r="G650" s="11">
        <v>537.29999999999995</v>
      </c>
      <c r="H650" s="3" t="s">
        <v>374</v>
      </c>
      <c r="I650" s="3" t="str">
        <f t="shared" si="10"/>
        <v>Aug</v>
      </c>
    </row>
    <row r="651" spans="1:9" x14ac:dyDescent="0.25">
      <c r="A651">
        <v>10657</v>
      </c>
      <c r="B651" t="s">
        <v>238</v>
      </c>
      <c r="C651" s="6">
        <v>42982</v>
      </c>
      <c r="D651" s="6">
        <v>43010</v>
      </c>
      <c r="E651" s="6">
        <v>42993</v>
      </c>
      <c r="F651" s="3" t="s">
        <v>645</v>
      </c>
      <c r="G651" s="11">
        <v>1763.45</v>
      </c>
      <c r="H651" s="3" t="s">
        <v>374</v>
      </c>
      <c r="I651" s="3" t="str">
        <f t="shared" si="10"/>
        <v>Sep</v>
      </c>
    </row>
    <row r="652" spans="1:9" x14ac:dyDescent="0.25">
      <c r="A652">
        <v>10678</v>
      </c>
      <c r="B652" t="s">
        <v>238</v>
      </c>
      <c r="C652" s="6">
        <v>43001</v>
      </c>
      <c r="D652" s="6">
        <v>43029</v>
      </c>
      <c r="E652" s="6">
        <v>43024</v>
      </c>
      <c r="F652" s="3" t="s">
        <v>646</v>
      </c>
      <c r="G652" s="11">
        <v>1944.9</v>
      </c>
      <c r="H652" s="3" t="s">
        <v>374</v>
      </c>
      <c r="I652" s="3" t="str">
        <f t="shared" si="10"/>
        <v>Sep</v>
      </c>
    </row>
    <row r="653" spans="1:9" x14ac:dyDescent="0.25">
      <c r="A653">
        <v>10700</v>
      </c>
      <c r="B653" t="s">
        <v>238</v>
      </c>
      <c r="C653" s="6">
        <v>43018</v>
      </c>
      <c r="D653" s="6">
        <v>43046</v>
      </c>
      <c r="E653" s="6">
        <v>43024</v>
      </c>
      <c r="F653" s="3" t="s">
        <v>644</v>
      </c>
      <c r="G653" s="11">
        <v>325.5</v>
      </c>
      <c r="H653" s="3" t="s">
        <v>374</v>
      </c>
      <c r="I653" s="3" t="str">
        <f t="shared" si="10"/>
        <v>Oct</v>
      </c>
    </row>
    <row r="654" spans="1:9" x14ac:dyDescent="0.25">
      <c r="A654">
        <v>10711</v>
      </c>
      <c r="B654" t="s">
        <v>238</v>
      </c>
      <c r="C654" s="6">
        <v>43029</v>
      </c>
      <c r="D654" s="6">
        <v>43071</v>
      </c>
      <c r="E654" s="6">
        <v>43037</v>
      </c>
      <c r="F654" s="3" t="s">
        <v>645</v>
      </c>
      <c r="G654" s="11">
        <v>262.04999999999995</v>
      </c>
      <c r="H654" s="3" t="s">
        <v>374</v>
      </c>
      <c r="I654" s="3" t="str">
        <f t="shared" si="10"/>
        <v>Oct</v>
      </c>
    </row>
    <row r="655" spans="1:9" x14ac:dyDescent="0.25">
      <c r="A655">
        <v>10713</v>
      </c>
      <c r="B655" t="s">
        <v>238</v>
      </c>
      <c r="C655" s="6">
        <v>43030</v>
      </c>
      <c r="D655" s="6">
        <v>43058</v>
      </c>
      <c r="E655" s="6">
        <v>43032</v>
      </c>
      <c r="F655" s="3" t="s">
        <v>644</v>
      </c>
      <c r="G655" s="11">
        <v>835.25</v>
      </c>
      <c r="H655" s="3" t="s">
        <v>374</v>
      </c>
      <c r="I655" s="3" t="str">
        <f t="shared" si="10"/>
        <v>Oct</v>
      </c>
    </row>
    <row r="656" spans="1:9" x14ac:dyDescent="0.25">
      <c r="A656">
        <v>10714</v>
      </c>
      <c r="B656" t="s">
        <v>238</v>
      </c>
      <c r="C656" s="6">
        <v>43030</v>
      </c>
      <c r="D656" s="6">
        <v>43058</v>
      </c>
      <c r="E656" s="6">
        <v>43035</v>
      </c>
      <c r="F656" s="3" t="s">
        <v>646</v>
      </c>
      <c r="G656" s="11">
        <v>122.44999999999999</v>
      </c>
      <c r="H656" s="3" t="s">
        <v>374</v>
      </c>
      <c r="I656" s="3" t="str">
        <f t="shared" si="10"/>
        <v>Oct</v>
      </c>
    </row>
    <row r="657" spans="1:9" x14ac:dyDescent="0.25">
      <c r="A657">
        <v>10722</v>
      </c>
      <c r="B657" t="s">
        <v>238</v>
      </c>
      <c r="C657" s="6">
        <v>43037</v>
      </c>
      <c r="D657" s="6">
        <v>43079</v>
      </c>
      <c r="E657" s="6">
        <v>43043</v>
      </c>
      <c r="F657" s="3" t="s">
        <v>644</v>
      </c>
      <c r="G657" s="11">
        <v>372.9</v>
      </c>
      <c r="H657" s="3" t="s">
        <v>374</v>
      </c>
      <c r="I657" s="3" t="str">
        <f t="shared" si="10"/>
        <v>Oct</v>
      </c>
    </row>
    <row r="658" spans="1:9" x14ac:dyDescent="0.25">
      <c r="A658">
        <v>10748</v>
      </c>
      <c r="B658" t="s">
        <v>238</v>
      </c>
      <c r="C658" s="6">
        <v>43059</v>
      </c>
      <c r="D658" s="6">
        <v>43087</v>
      </c>
      <c r="E658" s="6">
        <v>43067</v>
      </c>
      <c r="F658" s="3" t="s">
        <v>644</v>
      </c>
      <c r="G658" s="11">
        <v>1162.75</v>
      </c>
      <c r="H658" s="3" t="s">
        <v>374</v>
      </c>
      <c r="I658" s="3" t="str">
        <f t="shared" si="10"/>
        <v>Nov</v>
      </c>
    </row>
    <row r="659" spans="1:9" x14ac:dyDescent="0.25">
      <c r="A659">
        <v>10757</v>
      </c>
      <c r="B659" t="s">
        <v>238</v>
      </c>
      <c r="C659" s="6">
        <v>43066</v>
      </c>
      <c r="D659" s="6">
        <v>43094</v>
      </c>
      <c r="E659" s="6">
        <v>43084</v>
      </c>
      <c r="F659" s="3" t="s">
        <v>644</v>
      </c>
      <c r="G659" s="11">
        <v>40.949999999999996</v>
      </c>
      <c r="H659" s="3" t="s">
        <v>374</v>
      </c>
      <c r="I659" s="3" t="str">
        <f t="shared" si="10"/>
        <v>Nov</v>
      </c>
    </row>
    <row r="660" spans="1:9" x14ac:dyDescent="0.25">
      <c r="A660">
        <v>10815</v>
      </c>
      <c r="B660" t="s">
        <v>238</v>
      </c>
      <c r="C660" s="6">
        <v>43105</v>
      </c>
      <c r="D660" s="6">
        <v>43133</v>
      </c>
      <c r="E660" s="6">
        <v>43114</v>
      </c>
      <c r="F660" s="3" t="s">
        <v>646</v>
      </c>
      <c r="G660" s="11">
        <v>73.099999999999994</v>
      </c>
      <c r="H660" s="3" t="s">
        <v>374</v>
      </c>
      <c r="I660" s="3" t="str">
        <f t="shared" si="10"/>
        <v>Jan</v>
      </c>
    </row>
    <row r="661" spans="1:9" x14ac:dyDescent="0.25">
      <c r="A661">
        <v>10847</v>
      </c>
      <c r="B661" t="s">
        <v>238</v>
      </c>
      <c r="C661" s="6">
        <v>43122</v>
      </c>
      <c r="D661" s="6">
        <v>43136</v>
      </c>
      <c r="E661" s="6">
        <v>43141</v>
      </c>
      <c r="F661" s="3" t="s">
        <v>646</v>
      </c>
      <c r="G661" s="11">
        <v>2437.85</v>
      </c>
      <c r="H661" s="3" t="s">
        <v>374</v>
      </c>
      <c r="I661" s="3" t="str">
        <f t="shared" si="10"/>
        <v>Jan</v>
      </c>
    </row>
    <row r="662" spans="1:9" x14ac:dyDescent="0.25">
      <c r="A662">
        <v>10882</v>
      </c>
      <c r="B662" t="s">
        <v>238</v>
      </c>
      <c r="C662" s="6">
        <v>43142</v>
      </c>
      <c r="D662" s="6">
        <v>43170</v>
      </c>
      <c r="E662" s="6">
        <v>43151</v>
      </c>
      <c r="F662" s="3" t="s">
        <v>646</v>
      </c>
      <c r="G662" s="11">
        <v>115.5</v>
      </c>
      <c r="H662" s="3" t="s">
        <v>374</v>
      </c>
      <c r="I662" s="3" t="str">
        <f t="shared" si="10"/>
        <v>Feb</v>
      </c>
    </row>
    <row r="663" spans="1:9" x14ac:dyDescent="0.25">
      <c r="A663">
        <v>10894</v>
      </c>
      <c r="B663" t="s">
        <v>238</v>
      </c>
      <c r="C663" s="6">
        <v>43149</v>
      </c>
      <c r="D663" s="6">
        <v>43177</v>
      </c>
      <c r="E663" s="6">
        <v>43151</v>
      </c>
      <c r="F663" s="3" t="s">
        <v>644</v>
      </c>
      <c r="G663" s="11">
        <v>580.65</v>
      </c>
      <c r="H663" s="3" t="s">
        <v>374</v>
      </c>
      <c r="I663" s="3" t="str">
        <f t="shared" si="10"/>
        <v>Feb</v>
      </c>
    </row>
    <row r="664" spans="1:9" x14ac:dyDescent="0.25">
      <c r="A664">
        <v>10941</v>
      </c>
      <c r="B664" t="s">
        <v>238</v>
      </c>
      <c r="C664" s="6">
        <v>43170</v>
      </c>
      <c r="D664" s="6">
        <v>43198</v>
      </c>
      <c r="E664" s="6">
        <v>43179</v>
      </c>
      <c r="F664" s="3" t="s">
        <v>645</v>
      </c>
      <c r="G664" s="11">
        <v>2004.05</v>
      </c>
      <c r="H664" s="3" t="s">
        <v>374</v>
      </c>
      <c r="I664" s="3" t="str">
        <f t="shared" si="10"/>
        <v>Mar</v>
      </c>
    </row>
    <row r="665" spans="1:9" x14ac:dyDescent="0.25">
      <c r="A665">
        <v>10983</v>
      </c>
      <c r="B665" t="s">
        <v>238</v>
      </c>
      <c r="C665" s="6">
        <v>43186</v>
      </c>
      <c r="D665" s="6">
        <v>43214</v>
      </c>
      <c r="E665" s="6">
        <v>43196</v>
      </c>
      <c r="F665" s="3" t="s">
        <v>645</v>
      </c>
      <c r="G665" s="11">
        <v>3287.7</v>
      </c>
      <c r="H665" s="3" t="s">
        <v>374</v>
      </c>
      <c r="I665" s="3" t="str">
        <f t="shared" si="10"/>
        <v>Mar</v>
      </c>
    </row>
    <row r="666" spans="1:9" x14ac:dyDescent="0.25">
      <c r="A666">
        <v>10984</v>
      </c>
      <c r="B666" t="s">
        <v>238</v>
      </c>
      <c r="C666" s="6">
        <v>43189</v>
      </c>
      <c r="D666" s="6">
        <v>43217</v>
      </c>
      <c r="E666" s="6">
        <v>43193</v>
      </c>
      <c r="F666" s="3" t="s">
        <v>646</v>
      </c>
      <c r="G666" s="11">
        <v>1056.0999999999999</v>
      </c>
      <c r="H666" s="3" t="s">
        <v>374</v>
      </c>
      <c r="I666" s="3" t="str">
        <f t="shared" si="10"/>
        <v>Mar</v>
      </c>
    </row>
    <row r="667" spans="1:9" x14ac:dyDescent="0.25">
      <c r="A667">
        <v>11002</v>
      </c>
      <c r="B667" t="s">
        <v>238</v>
      </c>
      <c r="C667" s="6">
        <v>43196</v>
      </c>
      <c r="D667" s="6">
        <v>43224</v>
      </c>
      <c r="E667" s="6">
        <v>43206</v>
      </c>
      <c r="F667" s="3" t="s">
        <v>644</v>
      </c>
      <c r="G667" s="11">
        <v>705.8</v>
      </c>
      <c r="H667" s="3" t="s">
        <v>374</v>
      </c>
      <c r="I667" s="3" t="str">
        <f t="shared" si="10"/>
        <v>Apr</v>
      </c>
    </row>
    <row r="668" spans="1:9" x14ac:dyDescent="0.25">
      <c r="A668">
        <v>11030</v>
      </c>
      <c r="B668" t="s">
        <v>238</v>
      </c>
      <c r="C668" s="6">
        <v>43207</v>
      </c>
      <c r="D668" s="6">
        <v>43235</v>
      </c>
      <c r="E668" s="6">
        <v>43217</v>
      </c>
      <c r="F668" s="3" t="s">
        <v>645</v>
      </c>
      <c r="G668" s="11">
        <v>4153.75</v>
      </c>
      <c r="H668" s="3" t="s">
        <v>374</v>
      </c>
      <c r="I668" s="3" t="str">
        <f t="shared" si="10"/>
        <v>Apr</v>
      </c>
    </row>
    <row r="669" spans="1:9" x14ac:dyDescent="0.25">
      <c r="A669">
        <v>11031</v>
      </c>
      <c r="B669" t="s">
        <v>238</v>
      </c>
      <c r="C669" s="6">
        <v>43207</v>
      </c>
      <c r="D669" s="6">
        <v>43235</v>
      </c>
      <c r="E669" s="6">
        <v>43214</v>
      </c>
      <c r="F669" s="3" t="s">
        <v>645</v>
      </c>
      <c r="G669" s="11">
        <v>1136.0999999999999</v>
      </c>
      <c r="H669" s="3" t="s">
        <v>374</v>
      </c>
      <c r="I669" s="3" t="str">
        <f t="shared" si="10"/>
        <v>Apr</v>
      </c>
    </row>
    <row r="670" spans="1:9" x14ac:dyDescent="0.25">
      <c r="A670">
        <v>11064</v>
      </c>
      <c r="B670" t="s">
        <v>238</v>
      </c>
      <c r="C670" s="6">
        <v>43221</v>
      </c>
      <c r="D670" s="6">
        <v>43249</v>
      </c>
      <c r="E670" s="6">
        <v>43224</v>
      </c>
      <c r="F670" s="3" t="s">
        <v>644</v>
      </c>
      <c r="G670" s="11">
        <v>150.44999999999999</v>
      </c>
      <c r="H670" s="3" t="s">
        <v>374</v>
      </c>
      <c r="I670" s="3" t="str">
        <f t="shared" si="10"/>
        <v>May</v>
      </c>
    </row>
    <row r="671" spans="1:9" x14ac:dyDescent="0.25">
      <c r="A671">
        <v>10359</v>
      </c>
      <c r="B671" t="s">
        <v>241</v>
      </c>
      <c r="C671" s="6">
        <v>42695</v>
      </c>
      <c r="D671" s="6">
        <v>42723</v>
      </c>
      <c r="E671" s="6">
        <v>42700</v>
      </c>
      <c r="F671" s="3" t="s">
        <v>646</v>
      </c>
      <c r="G671" s="11">
        <v>1442.15</v>
      </c>
      <c r="H671" s="3" t="s">
        <v>6</v>
      </c>
      <c r="I671" s="3" t="str">
        <f t="shared" si="10"/>
        <v>Nov</v>
      </c>
    </row>
    <row r="672" spans="1:9" x14ac:dyDescent="0.25">
      <c r="A672">
        <v>10377</v>
      </c>
      <c r="B672" t="s">
        <v>241</v>
      </c>
      <c r="C672" s="6">
        <v>42713</v>
      </c>
      <c r="D672" s="6">
        <v>42741</v>
      </c>
      <c r="E672" s="6">
        <v>42717</v>
      </c>
      <c r="F672" s="3" t="s">
        <v>646</v>
      </c>
      <c r="G672" s="11">
        <v>111.05000000000001</v>
      </c>
      <c r="H672" s="3" t="s">
        <v>6</v>
      </c>
      <c r="I672" s="3" t="str">
        <f t="shared" si="10"/>
        <v>Dec</v>
      </c>
    </row>
    <row r="673" spans="1:9" x14ac:dyDescent="0.25">
      <c r="A673">
        <v>10388</v>
      </c>
      <c r="B673" t="s">
        <v>241</v>
      </c>
      <c r="C673" s="6">
        <v>42723</v>
      </c>
      <c r="D673" s="6">
        <v>42751</v>
      </c>
      <c r="E673" s="6">
        <v>42724</v>
      </c>
      <c r="F673" s="3" t="s">
        <v>644</v>
      </c>
      <c r="G673" s="11">
        <v>174.3</v>
      </c>
      <c r="H673" s="3" t="s">
        <v>6</v>
      </c>
      <c r="I673" s="3" t="str">
        <f t="shared" si="10"/>
        <v>Dec</v>
      </c>
    </row>
    <row r="674" spans="1:9" x14ac:dyDescent="0.25">
      <c r="A674">
        <v>10472</v>
      </c>
      <c r="B674" t="s">
        <v>241</v>
      </c>
      <c r="C674" s="6">
        <v>42806</v>
      </c>
      <c r="D674" s="6">
        <v>42834</v>
      </c>
      <c r="E674" s="6">
        <v>42813</v>
      </c>
      <c r="F674" s="3" t="s">
        <v>644</v>
      </c>
      <c r="G674" s="11">
        <v>21</v>
      </c>
      <c r="H674" s="3" t="s">
        <v>6</v>
      </c>
      <c r="I674" s="3" t="str">
        <f t="shared" si="10"/>
        <v>Mar</v>
      </c>
    </row>
    <row r="675" spans="1:9" x14ac:dyDescent="0.25">
      <c r="A675">
        <v>10523</v>
      </c>
      <c r="B675" t="s">
        <v>241</v>
      </c>
      <c r="C675" s="6">
        <v>42856</v>
      </c>
      <c r="D675" s="6">
        <v>42884</v>
      </c>
      <c r="E675" s="6">
        <v>42885</v>
      </c>
      <c r="F675" s="3" t="s">
        <v>645</v>
      </c>
      <c r="G675" s="11">
        <v>388.15</v>
      </c>
      <c r="H675" s="3" t="s">
        <v>6</v>
      </c>
      <c r="I675" s="3" t="str">
        <f t="shared" si="10"/>
        <v>May</v>
      </c>
    </row>
    <row r="676" spans="1:9" x14ac:dyDescent="0.25">
      <c r="A676">
        <v>10547</v>
      </c>
      <c r="B676" t="s">
        <v>241</v>
      </c>
      <c r="C676" s="6">
        <v>42878</v>
      </c>
      <c r="D676" s="6">
        <v>42906</v>
      </c>
      <c r="E676" s="6">
        <v>42888</v>
      </c>
      <c r="F676" s="3" t="s">
        <v>645</v>
      </c>
      <c r="G676" s="11">
        <v>892.15000000000009</v>
      </c>
      <c r="H676" s="3" t="s">
        <v>6</v>
      </c>
      <c r="I676" s="3" t="str">
        <f t="shared" si="10"/>
        <v>May</v>
      </c>
    </row>
    <row r="677" spans="1:9" x14ac:dyDescent="0.25">
      <c r="A677">
        <v>10800</v>
      </c>
      <c r="B677" t="s">
        <v>241</v>
      </c>
      <c r="C677" s="6">
        <v>43095</v>
      </c>
      <c r="D677" s="6">
        <v>43123</v>
      </c>
      <c r="E677" s="6">
        <v>43105</v>
      </c>
      <c r="F677" s="3" t="s">
        <v>646</v>
      </c>
      <c r="G677" s="11">
        <v>687.2</v>
      </c>
      <c r="H677" s="3" t="s">
        <v>6</v>
      </c>
      <c r="I677" s="3" t="str">
        <f t="shared" si="10"/>
        <v>Dec</v>
      </c>
    </row>
    <row r="678" spans="1:9" x14ac:dyDescent="0.25">
      <c r="A678">
        <v>10804</v>
      </c>
      <c r="B678" t="s">
        <v>241</v>
      </c>
      <c r="C678" s="6">
        <v>43099</v>
      </c>
      <c r="D678" s="6">
        <v>43127</v>
      </c>
      <c r="E678" s="6">
        <v>43107</v>
      </c>
      <c r="F678" s="3" t="s">
        <v>645</v>
      </c>
      <c r="G678" s="11">
        <v>136.64999999999998</v>
      </c>
      <c r="H678" s="3" t="s">
        <v>6</v>
      </c>
      <c r="I678" s="3" t="str">
        <f t="shared" si="10"/>
        <v>Dec</v>
      </c>
    </row>
    <row r="679" spans="1:9" x14ac:dyDescent="0.25">
      <c r="A679">
        <v>10869</v>
      </c>
      <c r="B679" t="s">
        <v>241</v>
      </c>
      <c r="C679" s="6">
        <v>43135</v>
      </c>
      <c r="D679" s="6">
        <v>43163</v>
      </c>
      <c r="E679" s="6">
        <v>43140</v>
      </c>
      <c r="F679" s="3" t="s">
        <v>644</v>
      </c>
      <c r="G679" s="11">
        <v>716.4</v>
      </c>
      <c r="H679" s="3" t="s">
        <v>6</v>
      </c>
      <c r="I679" s="3" t="str">
        <f t="shared" si="10"/>
        <v>Feb</v>
      </c>
    </row>
    <row r="680" spans="1:9" x14ac:dyDescent="0.25">
      <c r="A680">
        <v>10341</v>
      </c>
      <c r="B680" t="s">
        <v>244</v>
      </c>
      <c r="C680" s="6">
        <v>42672</v>
      </c>
      <c r="D680" s="6">
        <v>42700</v>
      </c>
      <c r="E680" s="6">
        <v>42679</v>
      </c>
      <c r="F680" s="3" t="s">
        <v>646</v>
      </c>
      <c r="G680" s="11">
        <v>133.9</v>
      </c>
      <c r="H680" s="3" t="s">
        <v>5</v>
      </c>
      <c r="I680" s="3" t="str">
        <f t="shared" si="10"/>
        <v>Oct</v>
      </c>
    </row>
    <row r="681" spans="1:9" x14ac:dyDescent="0.25">
      <c r="A681">
        <v>10417</v>
      </c>
      <c r="B681" t="s">
        <v>244</v>
      </c>
      <c r="C681" s="6">
        <v>42751</v>
      </c>
      <c r="D681" s="6">
        <v>42779</v>
      </c>
      <c r="E681" s="6">
        <v>42763</v>
      </c>
      <c r="F681" s="3" t="s">
        <v>646</v>
      </c>
      <c r="G681" s="11">
        <v>351.45000000000005</v>
      </c>
      <c r="H681" s="3" t="s">
        <v>5</v>
      </c>
      <c r="I681" s="3" t="str">
        <f t="shared" si="10"/>
        <v>Jan</v>
      </c>
    </row>
    <row r="682" spans="1:9" x14ac:dyDescent="0.25">
      <c r="A682">
        <v>10556</v>
      </c>
      <c r="B682" t="s">
        <v>244</v>
      </c>
      <c r="C682" s="6">
        <v>42889</v>
      </c>
      <c r="D682" s="6">
        <v>42931</v>
      </c>
      <c r="E682" s="6">
        <v>42899</v>
      </c>
      <c r="F682" s="3" t="s">
        <v>644</v>
      </c>
      <c r="G682" s="11">
        <v>49</v>
      </c>
      <c r="H682" s="3" t="s">
        <v>5</v>
      </c>
      <c r="I682" s="3" t="str">
        <f t="shared" si="10"/>
        <v>Jun</v>
      </c>
    </row>
    <row r="683" spans="1:9" x14ac:dyDescent="0.25">
      <c r="A683">
        <v>10642</v>
      </c>
      <c r="B683" t="s">
        <v>244</v>
      </c>
      <c r="C683" s="6">
        <v>42969</v>
      </c>
      <c r="D683" s="6">
        <v>42997</v>
      </c>
      <c r="E683" s="6">
        <v>42983</v>
      </c>
      <c r="F683" s="3" t="s">
        <v>646</v>
      </c>
      <c r="G683" s="11">
        <v>209.45</v>
      </c>
      <c r="H683" s="3" t="s">
        <v>5</v>
      </c>
      <c r="I683" s="3" t="str">
        <f t="shared" si="10"/>
        <v>Aug</v>
      </c>
    </row>
    <row r="684" spans="1:9" x14ac:dyDescent="0.25">
      <c r="A684">
        <v>10669</v>
      </c>
      <c r="B684" t="s">
        <v>244</v>
      </c>
      <c r="C684" s="6">
        <v>42993</v>
      </c>
      <c r="D684" s="6">
        <v>43021</v>
      </c>
      <c r="E684" s="6">
        <v>43000</v>
      </c>
      <c r="F684" s="3" t="s">
        <v>644</v>
      </c>
      <c r="G684" s="11">
        <v>121.95</v>
      </c>
      <c r="H684" s="3" t="s">
        <v>5</v>
      </c>
      <c r="I684" s="3" t="str">
        <f t="shared" si="10"/>
        <v>Sep</v>
      </c>
    </row>
    <row r="685" spans="1:9" x14ac:dyDescent="0.25">
      <c r="A685">
        <v>10802</v>
      </c>
      <c r="B685" t="s">
        <v>244</v>
      </c>
      <c r="C685" s="6">
        <v>43098</v>
      </c>
      <c r="D685" s="6">
        <v>43126</v>
      </c>
      <c r="E685" s="6">
        <v>43102</v>
      </c>
      <c r="F685" s="3" t="s">
        <v>645</v>
      </c>
      <c r="G685" s="11">
        <v>1286.3</v>
      </c>
      <c r="H685" s="3" t="s">
        <v>5</v>
      </c>
      <c r="I685" s="3" t="str">
        <f t="shared" si="10"/>
        <v>Dec</v>
      </c>
    </row>
    <row r="686" spans="1:9" x14ac:dyDescent="0.25">
      <c r="A686">
        <v>11074</v>
      </c>
      <c r="B686" t="s">
        <v>244</v>
      </c>
      <c r="C686" s="6">
        <v>43226</v>
      </c>
      <c r="D686" s="6">
        <v>43254</v>
      </c>
      <c r="E686" s="6"/>
      <c r="F686" s="3" t="s">
        <v>645</v>
      </c>
      <c r="G686" s="11">
        <v>92.2</v>
      </c>
      <c r="H686" s="3" t="s">
        <v>5</v>
      </c>
      <c r="I686" s="3" t="str">
        <f t="shared" si="10"/>
        <v>May</v>
      </c>
    </row>
    <row r="687" spans="1:9" x14ac:dyDescent="0.25">
      <c r="A687">
        <v>10738</v>
      </c>
      <c r="B687" t="s">
        <v>247</v>
      </c>
      <c r="C687" s="6">
        <v>43051</v>
      </c>
      <c r="D687" s="6">
        <v>43079</v>
      </c>
      <c r="E687" s="6">
        <v>43057</v>
      </c>
      <c r="F687" s="3" t="s">
        <v>644</v>
      </c>
      <c r="G687" s="11">
        <v>14.55</v>
      </c>
      <c r="H687" s="3" t="s">
        <v>375</v>
      </c>
      <c r="I687" s="3" t="str">
        <f t="shared" si="10"/>
        <v>Nov</v>
      </c>
    </row>
    <row r="688" spans="1:9" x14ac:dyDescent="0.25">
      <c r="A688">
        <v>10907</v>
      </c>
      <c r="B688" t="s">
        <v>247</v>
      </c>
      <c r="C688" s="6">
        <v>43156</v>
      </c>
      <c r="D688" s="6">
        <v>43184</v>
      </c>
      <c r="E688" s="6">
        <v>43158</v>
      </c>
      <c r="F688" s="3" t="s">
        <v>646</v>
      </c>
      <c r="G688" s="11">
        <v>45.949999999999996</v>
      </c>
      <c r="H688" s="3" t="s">
        <v>375</v>
      </c>
      <c r="I688" s="3" t="str">
        <f t="shared" si="10"/>
        <v>Feb</v>
      </c>
    </row>
    <row r="689" spans="1:9" x14ac:dyDescent="0.25">
      <c r="A689">
        <v>10964</v>
      </c>
      <c r="B689" t="s">
        <v>247</v>
      </c>
      <c r="C689" s="6">
        <v>43179</v>
      </c>
      <c r="D689" s="6">
        <v>43207</v>
      </c>
      <c r="E689" s="6">
        <v>43183</v>
      </c>
      <c r="F689" s="3" t="s">
        <v>645</v>
      </c>
      <c r="G689" s="11">
        <v>436.9</v>
      </c>
      <c r="H689" s="3" t="s">
        <v>375</v>
      </c>
      <c r="I689" s="3" t="str">
        <f t="shared" si="10"/>
        <v>Mar</v>
      </c>
    </row>
    <row r="690" spans="1:9" x14ac:dyDescent="0.25">
      <c r="A690">
        <v>11043</v>
      </c>
      <c r="B690" t="s">
        <v>247</v>
      </c>
      <c r="C690" s="6">
        <v>43212</v>
      </c>
      <c r="D690" s="6">
        <v>43240</v>
      </c>
      <c r="E690" s="6">
        <v>43219</v>
      </c>
      <c r="F690" s="3" t="s">
        <v>645</v>
      </c>
      <c r="G690" s="11">
        <v>44</v>
      </c>
      <c r="H690" s="3" t="s">
        <v>375</v>
      </c>
      <c r="I690" s="3" t="str">
        <f t="shared" si="10"/>
        <v>Apr</v>
      </c>
    </row>
    <row r="691" spans="1:9" x14ac:dyDescent="0.25">
      <c r="A691">
        <v>10271</v>
      </c>
      <c r="B691" t="s">
        <v>250</v>
      </c>
      <c r="C691" s="6">
        <v>42583</v>
      </c>
      <c r="D691" s="6">
        <v>42611</v>
      </c>
      <c r="E691" s="6">
        <v>42612</v>
      </c>
      <c r="F691" s="3" t="s">
        <v>645</v>
      </c>
      <c r="G691" s="11">
        <v>22.7</v>
      </c>
      <c r="H691" s="3" t="s">
        <v>376</v>
      </c>
      <c r="I691" s="3" t="str">
        <f t="shared" si="10"/>
        <v>Aug</v>
      </c>
    </row>
    <row r="692" spans="1:9" x14ac:dyDescent="0.25">
      <c r="A692">
        <v>10329</v>
      </c>
      <c r="B692" t="s">
        <v>250</v>
      </c>
      <c r="C692" s="6">
        <v>42658</v>
      </c>
      <c r="D692" s="6">
        <v>42700</v>
      </c>
      <c r="E692" s="6">
        <v>42666</v>
      </c>
      <c r="F692" s="3" t="s">
        <v>645</v>
      </c>
      <c r="G692" s="11">
        <v>958.34999999999991</v>
      </c>
      <c r="H692" s="3" t="s">
        <v>376</v>
      </c>
      <c r="I692" s="3" t="str">
        <f t="shared" si="10"/>
        <v>Oct</v>
      </c>
    </row>
    <row r="693" spans="1:9" x14ac:dyDescent="0.25">
      <c r="A693">
        <v>10349</v>
      </c>
      <c r="B693" t="s">
        <v>250</v>
      </c>
      <c r="C693" s="6">
        <v>42682</v>
      </c>
      <c r="D693" s="6">
        <v>42710</v>
      </c>
      <c r="E693" s="6">
        <v>42689</v>
      </c>
      <c r="F693" s="3" t="s">
        <v>644</v>
      </c>
      <c r="G693" s="11">
        <v>43.150000000000006</v>
      </c>
      <c r="H693" s="3" t="s">
        <v>376</v>
      </c>
      <c r="I693" s="3" t="str">
        <f t="shared" si="10"/>
        <v>Nov</v>
      </c>
    </row>
    <row r="694" spans="1:9" x14ac:dyDescent="0.25">
      <c r="A694">
        <v>10369</v>
      </c>
      <c r="B694" t="s">
        <v>250</v>
      </c>
      <c r="C694" s="6">
        <v>42706</v>
      </c>
      <c r="D694" s="6">
        <v>42734</v>
      </c>
      <c r="E694" s="6">
        <v>42713</v>
      </c>
      <c r="F694" s="3" t="s">
        <v>645</v>
      </c>
      <c r="G694" s="11">
        <v>978.40000000000009</v>
      </c>
      <c r="H694" s="3" t="s">
        <v>376</v>
      </c>
      <c r="I694" s="3" t="str">
        <f t="shared" si="10"/>
        <v>Dec</v>
      </c>
    </row>
    <row r="695" spans="1:9" x14ac:dyDescent="0.25">
      <c r="A695">
        <v>10385</v>
      </c>
      <c r="B695" t="s">
        <v>250</v>
      </c>
      <c r="C695" s="6">
        <v>42721</v>
      </c>
      <c r="D695" s="6">
        <v>42749</v>
      </c>
      <c r="E695" s="6">
        <v>42727</v>
      </c>
      <c r="F695" s="3" t="s">
        <v>645</v>
      </c>
      <c r="G695" s="11">
        <v>154.80000000000001</v>
      </c>
      <c r="H695" s="3" t="s">
        <v>376</v>
      </c>
      <c r="I695" s="3" t="str">
        <f t="shared" si="10"/>
        <v>Dec</v>
      </c>
    </row>
    <row r="696" spans="1:9" x14ac:dyDescent="0.25">
      <c r="A696">
        <v>10432</v>
      </c>
      <c r="B696" t="s">
        <v>250</v>
      </c>
      <c r="C696" s="6">
        <v>42766</v>
      </c>
      <c r="D696" s="6">
        <v>42780</v>
      </c>
      <c r="E696" s="6">
        <v>42773</v>
      </c>
      <c r="F696" s="3" t="s">
        <v>645</v>
      </c>
      <c r="G696" s="11">
        <v>21.7</v>
      </c>
      <c r="H696" s="3" t="s">
        <v>376</v>
      </c>
      <c r="I696" s="3" t="str">
        <f t="shared" si="10"/>
        <v>Jan</v>
      </c>
    </row>
    <row r="697" spans="1:9" x14ac:dyDescent="0.25">
      <c r="A697">
        <v>10756</v>
      </c>
      <c r="B697" t="s">
        <v>250</v>
      </c>
      <c r="C697" s="6">
        <v>43066</v>
      </c>
      <c r="D697" s="6">
        <v>43094</v>
      </c>
      <c r="E697" s="6">
        <v>43071</v>
      </c>
      <c r="F697" s="3" t="s">
        <v>645</v>
      </c>
      <c r="G697" s="11">
        <v>366.04999999999995</v>
      </c>
      <c r="H697" s="3" t="s">
        <v>376</v>
      </c>
      <c r="I697" s="3" t="str">
        <f t="shared" si="10"/>
        <v>Nov</v>
      </c>
    </row>
    <row r="698" spans="1:9" x14ac:dyDescent="0.25">
      <c r="A698">
        <v>10821</v>
      </c>
      <c r="B698" t="s">
        <v>250</v>
      </c>
      <c r="C698" s="6">
        <v>43108</v>
      </c>
      <c r="D698" s="6">
        <v>43136</v>
      </c>
      <c r="E698" s="6">
        <v>43115</v>
      </c>
      <c r="F698" s="3" t="s">
        <v>644</v>
      </c>
      <c r="G698" s="11">
        <v>183.4</v>
      </c>
      <c r="H698" s="3" t="s">
        <v>376</v>
      </c>
      <c r="I698" s="3" t="str">
        <f t="shared" si="10"/>
        <v>Jan</v>
      </c>
    </row>
    <row r="699" spans="1:9" x14ac:dyDescent="0.25">
      <c r="A699">
        <v>10974</v>
      </c>
      <c r="B699" t="s">
        <v>250</v>
      </c>
      <c r="C699" s="6">
        <v>43184</v>
      </c>
      <c r="D699" s="6">
        <v>43198</v>
      </c>
      <c r="E699" s="6">
        <v>43193</v>
      </c>
      <c r="F699" s="3" t="s">
        <v>646</v>
      </c>
      <c r="G699" s="11">
        <v>64.800000000000011</v>
      </c>
      <c r="H699" s="3" t="s">
        <v>376</v>
      </c>
      <c r="I699" s="3" t="str">
        <f t="shared" si="10"/>
        <v>Mar</v>
      </c>
    </row>
    <row r="700" spans="1:9" x14ac:dyDescent="0.25">
      <c r="A700">
        <v>10252</v>
      </c>
      <c r="B700" t="s">
        <v>254</v>
      </c>
      <c r="C700" s="6">
        <v>42560</v>
      </c>
      <c r="D700" s="6">
        <v>42588</v>
      </c>
      <c r="E700" s="6">
        <v>42562</v>
      </c>
      <c r="F700" s="3" t="s">
        <v>645</v>
      </c>
      <c r="G700" s="11">
        <v>256.5</v>
      </c>
      <c r="H700" s="3" t="s">
        <v>377</v>
      </c>
      <c r="I700" s="3" t="str">
        <f t="shared" si="10"/>
        <v>Jul</v>
      </c>
    </row>
    <row r="701" spans="1:9" x14ac:dyDescent="0.25">
      <c r="A701">
        <v>10302</v>
      </c>
      <c r="B701" t="s">
        <v>254</v>
      </c>
      <c r="C701" s="6">
        <v>42623</v>
      </c>
      <c r="D701" s="6">
        <v>42651</v>
      </c>
      <c r="E701" s="6">
        <v>42652</v>
      </c>
      <c r="F701" s="3" t="s">
        <v>645</v>
      </c>
      <c r="G701" s="11">
        <v>31.349999999999998</v>
      </c>
      <c r="H701" s="3" t="s">
        <v>377</v>
      </c>
      <c r="I701" s="3" t="str">
        <f t="shared" si="10"/>
        <v>Sep</v>
      </c>
    </row>
    <row r="702" spans="1:9" x14ac:dyDescent="0.25">
      <c r="A702">
        <v>10458</v>
      </c>
      <c r="B702" t="s">
        <v>254</v>
      </c>
      <c r="C702" s="6">
        <v>42792</v>
      </c>
      <c r="D702" s="6">
        <v>42820</v>
      </c>
      <c r="E702" s="6">
        <v>42798</v>
      </c>
      <c r="F702" s="3" t="s">
        <v>646</v>
      </c>
      <c r="G702" s="11">
        <v>735.3</v>
      </c>
      <c r="H702" s="3" t="s">
        <v>377</v>
      </c>
      <c r="I702" s="3" t="str">
        <f t="shared" si="10"/>
        <v>Feb</v>
      </c>
    </row>
    <row r="703" spans="1:9" x14ac:dyDescent="0.25">
      <c r="A703">
        <v>10463</v>
      </c>
      <c r="B703" t="s">
        <v>254</v>
      </c>
      <c r="C703" s="6">
        <v>42798</v>
      </c>
      <c r="D703" s="6">
        <v>42826</v>
      </c>
      <c r="E703" s="6">
        <v>42800</v>
      </c>
      <c r="F703" s="3" t="s">
        <v>646</v>
      </c>
      <c r="G703" s="11">
        <v>73.899999999999991</v>
      </c>
      <c r="H703" s="3" t="s">
        <v>377</v>
      </c>
      <c r="I703" s="3" t="str">
        <f t="shared" si="10"/>
        <v>Mar</v>
      </c>
    </row>
    <row r="704" spans="1:9" x14ac:dyDescent="0.25">
      <c r="A704">
        <v>10475</v>
      </c>
      <c r="B704" t="s">
        <v>254</v>
      </c>
      <c r="C704" s="6">
        <v>42808</v>
      </c>
      <c r="D704" s="6">
        <v>42836</v>
      </c>
      <c r="E704" s="6">
        <v>42829</v>
      </c>
      <c r="F704" s="3" t="s">
        <v>644</v>
      </c>
      <c r="G704" s="11">
        <v>342.59999999999997</v>
      </c>
      <c r="H704" s="3" t="s">
        <v>377</v>
      </c>
      <c r="I704" s="3" t="str">
        <f t="shared" si="10"/>
        <v>Mar</v>
      </c>
    </row>
    <row r="705" spans="1:9" x14ac:dyDescent="0.25">
      <c r="A705">
        <v>10767</v>
      </c>
      <c r="B705" t="s">
        <v>254</v>
      </c>
      <c r="C705" s="6">
        <v>43074</v>
      </c>
      <c r="D705" s="6">
        <v>43102</v>
      </c>
      <c r="E705" s="6">
        <v>43084</v>
      </c>
      <c r="F705" s="3" t="s">
        <v>646</v>
      </c>
      <c r="G705" s="11">
        <v>7.95</v>
      </c>
      <c r="H705" s="3" t="s">
        <v>377</v>
      </c>
      <c r="I705" s="3" t="str">
        <f t="shared" si="10"/>
        <v>Dec</v>
      </c>
    </row>
    <row r="706" spans="1:9" x14ac:dyDescent="0.25">
      <c r="A706">
        <v>10841</v>
      </c>
      <c r="B706" t="s">
        <v>254</v>
      </c>
      <c r="C706" s="6">
        <v>43120</v>
      </c>
      <c r="D706" s="6">
        <v>43148</v>
      </c>
      <c r="E706" s="6">
        <v>43129</v>
      </c>
      <c r="F706" s="3" t="s">
        <v>645</v>
      </c>
      <c r="G706" s="11">
        <v>2121.5</v>
      </c>
      <c r="H706" s="3" t="s">
        <v>377</v>
      </c>
      <c r="I706" s="3" t="str">
        <f t="shared" si="10"/>
        <v>Jan</v>
      </c>
    </row>
    <row r="707" spans="1:9" x14ac:dyDescent="0.25">
      <c r="A707">
        <v>10846</v>
      </c>
      <c r="B707" t="s">
        <v>254</v>
      </c>
      <c r="C707" s="6">
        <v>43122</v>
      </c>
      <c r="D707" s="6">
        <v>43164</v>
      </c>
      <c r="E707" s="6">
        <v>43123</v>
      </c>
      <c r="F707" s="3" t="s">
        <v>646</v>
      </c>
      <c r="G707" s="11">
        <v>282.3</v>
      </c>
      <c r="H707" s="3" t="s">
        <v>377</v>
      </c>
      <c r="I707" s="3" t="str">
        <f t="shared" ref="I707:I770" si="11">TEXT(C707,"mmm")</f>
        <v>Jan</v>
      </c>
    </row>
    <row r="708" spans="1:9" x14ac:dyDescent="0.25">
      <c r="A708">
        <v>10885</v>
      </c>
      <c r="B708" t="s">
        <v>254</v>
      </c>
      <c r="C708" s="6">
        <v>43143</v>
      </c>
      <c r="D708" s="6">
        <v>43171</v>
      </c>
      <c r="E708" s="6">
        <v>43149</v>
      </c>
      <c r="F708" s="3" t="s">
        <v>646</v>
      </c>
      <c r="G708" s="11">
        <v>28.2</v>
      </c>
      <c r="H708" s="3" t="s">
        <v>377</v>
      </c>
      <c r="I708" s="3" t="str">
        <f t="shared" si="11"/>
        <v>Feb</v>
      </c>
    </row>
    <row r="709" spans="1:9" x14ac:dyDescent="0.25">
      <c r="A709">
        <v>10930</v>
      </c>
      <c r="B709" t="s">
        <v>254</v>
      </c>
      <c r="C709" s="6">
        <v>43165</v>
      </c>
      <c r="D709" s="6">
        <v>43207</v>
      </c>
      <c r="E709" s="6">
        <v>43177</v>
      </c>
      <c r="F709" s="3" t="s">
        <v>646</v>
      </c>
      <c r="G709" s="11">
        <v>77.75</v>
      </c>
      <c r="H709" s="3" t="s">
        <v>377</v>
      </c>
      <c r="I709" s="3" t="str">
        <f t="shared" si="11"/>
        <v>Mar</v>
      </c>
    </row>
    <row r="710" spans="1:9" x14ac:dyDescent="0.25">
      <c r="A710">
        <v>11035</v>
      </c>
      <c r="B710" t="s">
        <v>254</v>
      </c>
      <c r="C710" s="6">
        <v>43210</v>
      </c>
      <c r="D710" s="6">
        <v>43238</v>
      </c>
      <c r="E710" s="6">
        <v>43214</v>
      </c>
      <c r="F710" s="3" t="s">
        <v>645</v>
      </c>
      <c r="G710" s="11">
        <v>0.85000000000000009</v>
      </c>
      <c r="H710" s="3" t="s">
        <v>377</v>
      </c>
      <c r="I710" s="3" t="str">
        <f t="shared" si="11"/>
        <v>Apr</v>
      </c>
    </row>
    <row r="711" spans="1:9" x14ac:dyDescent="0.25">
      <c r="A711">
        <v>11038</v>
      </c>
      <c r="B711" t="s">
        <v>254</v>
      </c>
      <c r="C711" s="6">
        <v>43211</v>
      </c>
      <c r="D711" s="6">
        <v>43239</v>
      </c>
      <c r="E711" s="6">
        <v>43220</v>
      </c>
      <c r="F711" s="3" t="s">
        <v>645</v>
      </c>
      <c r="G711" s="11">
        <v>147.94999999999999</v>
      </c>
      <c r="H711" s="3" t="s">
        <v>377</v>
      </c>
      <c r="I711" s="3" t="str">
        <f t="shared" si="11"/>
        <v>Apr</v>
      </c>
    </row>
    <row r="712" spans="1:9" x14ac:dyDescent="0.25">
      <c r="A712">
        <v>10310</v>
      </c>
      <c r="B712" t="s">
        <v>257</v>
      </c>
      <c r="C712" s="6">
        <v>42633</v>
      </c>
      <c r="D712" s="6">
        <v>42661</v>
      </c>
      <c r="E712" s="6">
        <v>42640</v>
      </c>
      <c r="F712" s="3" t="s">
        <v>645</v>
      </c>
      <c r="G712" s="11">
        <v>87.6</v>
      </c>
      <c r="H712" s="3" t="s">
        <v>4</v>
      </c>
      <c r="I712" s="3" t="str">
        <f t="shared" si="11"/>
        <v>Sep</v>
      </c>
    </row>
    <row r="713" spans="1:9" x14ac:dyDescent="0.25">
      <c r="A713">
        <v>10708</v>
      </c>
      <c r="B713" t="s">
        <v>257</v>
      </c>
      <c r="C713" s="6">
        <v>43025</v>
      </c>
      <c r="D713" s="6">
        <v>43067</v>
      </c>
      <c r="E713" s="6">
        <v>43044</v>
      </c>
      <c r="F713" s="3" t="s">
        <v>645</v>
      </c>
      <c r="G713" s="11">
        <v>14.8</v>
      </c>
      <c r="H713" s="3" t="s">
        <v>4</v>
      </c>
      <c r="I713" s="3" t="str">
        <f t="shared" si="11"/>
        <v>Oct</v>
      </c>
    </row>
    <row r="714" spans="1:9" x14ac:dyDescent="0.25">
      <c r="A714">
        <v>10805</v>
      </c>
      <c r="B714" t="s">
        <v>257</v>
      </c>
      <c r="C714" s="6">
        <v>43099</v>
      </c>
      <c r="D714" s="6">
        <v>43127</v>
      </c>
      <c r="E714" s="6">
        <v>43109</v>
      </c>
      <c r="F714" s="3" t="s">
        <v>646</v>
      </c>
      <c r="G714" s="11">
        <v>1186.7</v>
      </c>
      <c r="H714" s="3" t="s">
        <v>4</v>
      </c>
      <c r="I714" s="3" t="str">
        <f t="shared" si="11"/>
        <v>Dec</v>
      </c>
    </row>
    <row r="715" spans="1:9" x14ac:dyDescent="0.25">
      <c r="A715">
        <v>10992</v>
      </c>
      <c r="B715" t="s">
        <v>257</v>
      </c>
      <c r="C715" s="6">
        <v>43191</v>
      </c>
      <c r="D715" s="6">
        <v>43219</v>
      </c>
      <c r="E715" s="6">
        <v>43193</v>
      </c>
      <c r="F715" s="3" t="s">
        <v>646</v>
      </c>
      <c r="G715" s="11">
        <v>21.349999999999998</v>
      </c>
      <c r="H715" s="3" t="s">
        <v>4</v>
      </c>
      <c r="I715" s="3" t="str">
        <f t="shared" si="11"/>
        <v>Apr</v>
      </c>
    </row>
    <row r="716" spans="1:9" x14ac:dyDescent="0.25">
      <c r="A716">
        <v>10624</v>
      </c>
      <c r="B716" t="s">
        <v>259</v>
      </c>
      <c r="C716" s="6">
        <v>42954</v>
      </c>
      <c r="D716" s="6">
        <v>42982</v>
      </c>
      <c r="E716" s="6">
        <v>42966</v>
      </c>
      <c r="F716" s="3" t="s">
        <v>645</v>
      </c>
      <c r="G716" s="11">
        <v>474</v>
      </c>
      <c r="H716" s="3" t="s">
        <v>3</v>
      </c>
      <c r="I716" s="3" t="str">
        <f t="shared" si="11"/>
        <v>Aug</v>
      </c>
    </row>
    <row r="717" spans="1:9" x14ac:dyDescent="0.25">
      <c r="A717">
        <v>10775</v>
      </c>
      <c r="B717" t="s">
        <v>259</v>
      </c>
      <c r="C717" s="6">
        <v>43081</v>
      </c>
      <c r="D717" s="6">
        <v>43109</v>
      </c>
      <c r="E717" s="6">
        <v>43095</v>
      </c>
      <c r="F717" s="3" t="s">
        <v>644</v>
      </c>
      <c r="G717" s="11">
        <v>101.25</v>
      </c>
      <c r="H717" s="3" t="s">
        <v>3</v>
      </c>
      <c r="I717" s="3" t="str">
        <f t="shared" si="11"/>
        <v>Dec</v>
      </c>
    </row>
    <row r="718" spans="1:9" x14ac:dyDescent="0.25">
      <c r="A718">
        <v>11003</v>
      </c>
      <c r="B718" t="s">
        <v>259</v>
      </c>
      <c r="C718" s="6">
        <v>43196</v>
      </c>
      <c r="D718" s="6">
        <v>43224</v>
      </c>
      <c r="E718" s="6">
        <v>43198</v>
      </c>
      <c r="F718" s="3" t="s">
        <v>646</v>
      </c>
      <c r="G718" s="11">
        <v>74.55</v>
      </c>
      <c r="H718" s="3" t="s">
        <v>3</v>
      </c>
      <c r="I718" s="3" t="str">
        <f t="shared" si="11"/>
        <v>Apr</v>
      </c>
    </row>
    <row r="719" spans="1:9" x14ac:dyDescent="0.25">
      <c r="A719">
        <v>10438</v>
      </c>
      <c r="B719" t="s">
        <v>263</v>
      </c>
      <c r="C719" s="6">
        <v>42772</v>
      </c>
      <c r="D719" s="6">
        <v>42800</v>
      </c>
      <c r="E719" s="6">
        <v>42780</v>
      </c>
      <c r="F719" s="3" t="s">
        <v>645</v>
      </c>
      <c r="G719" s="11">
        <v>41.2</v>
      </c>
      <c r="H719" s="3" t="s">
        <v>378</v>
      </c>
      <c r="I719" s="3" t="str">
        <f t="shared" si="11"/>
        <v>Feb</v>
      </c>
    </row>
    <row r="720" spans="1:9" x14ac:dyDescent="0.25">
      <c r="A720">
        <v>10446</v>
      </c>
      <c r="B720" t="s">
        <v>263</v>
      </c>
      <c r="C720" s="6">
        <v>42780</v>
      </c>
      <c r="D720" s="6">
        <v>42808</v>
      </c>
      <c r="E720" s="6">
        <v>42785</v>
      </c>
      <c r="F720" s="3" t="s">
        <v>644</v>
      </c>
      <c r="G720" s="11">
        <v>73.400000000000006</v>
      </c>
      <c r="H720" s="3" t="s">
        <v>378</v>
      </c>
      <c r="I720" s="3" t="str">
        <f t="shared" si="11"/>
        <v>Feb</v>
      </c>
    </row>
    <row r="721" spans="1:9" x14ac:dyDescent="0.25">
      <c r="A721">
        <v>10548</v>
      </c>
      <c r="B721" t="s">
        <v>263</v>
      </c>
      <c r="C721" s="6">
        <v>42881</v>
      </c>
      <c r="D721" s="6">
        <v>42909</v>
      </c>
      <c r="E721" s="6">
        <v>42888</v>
      </c>
      <c r="F721" s="3" t="s">
        <v>645</v>
      </c>
      <c r="G721" s="11">
        <v>7.1499999999999995</v>
      </c>
      <c r="H721" s="3" t="s">
        <v>378</v>
      </c>
      <c r="I721" s="3" t="str">
        <f t="shared" si="11"/>
        <v>May</v>
      </c>
    </row>
    <row r="722" spans="1:9" x14ac:dyDescent="0.25">
      <c r="A722">
        <v>10608</v>
      </c>
      <c r="B722" t="s">
        <v>263</v>
      </c>
      <c r="C722" s="6">
        <v>42939</v>
      </c>
      <c r="D722" s="6">
        <v>42967</v>
      </c>
      <c r="E722" s="6">
        <v>42948</v>
      </c>
      <c r="F722" s="3" t="s">
        <v>645</v>
      </c>
      <c r="G722" s="11">
        <v>138.94999999999999</v>
      </c>
      <c r="H722" s="3" t="s">
        <v>378</v>
      </c>
      <c r="I722" s="3" t="str">
        <f t="shared" si="11"/>
        <v>Jul</v>
      </c>
    </row>
    <row r="723" spans="1:9" x14ac:dyDescent="0.25">
      <c r="A723">
        <v>10967</v>
      </c>
      <c r="B723" t="s">
        <v>263</v>
      </c>
      <c r="C723" s="6">
        <v>43182</v>
      </c>
      <c r="D723" s="6">
        <v>43210</v>
      </c>
      <c r="E723" s="6">
        <v>43192</v>
      </c>
      <c r="F723" s="3" t="s">
        <v>645</v>
      </c>
      <c r="G723" s="11">
        <v>311.10000000000002</v>
      </c>
      <c r="H723" s="3" t="s">
        <v>378</v>
      </c>
      <c r="I723" s="3" t="str">
        <f t="shared" si="11"/>
        <v>Mar</v>
      </c>
    </row>
    <row r="724" spans="1:9" x14ac:dyDescent="0.25">
      <c r="A724">
        <v>10276</v>
      </c>
      <c r="B724" t="s">
        <v>266</v>
      </c>
      <c r="C724" s="6">
        <v>42590</v>
      </c>
      <c r="D724" s="6">
        <v>42604</v>
      </c>
      <c r="E724" s="6">
        <v>42596</v>
      </c>
      <c r="F724" s="3" t="s">
        <v>646</v>
      </c>
      <c r="G724" s="11">
        <v>69.2</v>
      </c>
      <c r="H724" s="3" t="s">
        <v>2</v>
      </c>
      <c r="I724" s="3" t="str">
        <f t="shared" si="11"/>
        <v>Aug</v>
      </c>
    </row>
    <row r="725" spans="1:9" x14ac:dyDescent="0.25">
      <c r="A725">
        <v>10293</v>
      </c>
      <c r="B725" t="s">
        <v>266</v>
      </c>
      <c r="C725" s="6">
        <v>42611</v>
      </c>
      <c r="D725" s="6">
        <v>42639</v>
      </c>
      <c r="E725" s="6">
        <v>42624</v>
      </c>
      <c r="F725" s="3" t="s">
        <v>646</v>
      </c>
      <c r="G725" s="11">
        <v>105.9</v>
      </c>
      <c r="H725" s="3" t="s">
        <v>2</v>
      </c>
      <c r="I725" s="3" t="str">
        <f t="shared" si="11"/>
        <v>Aug</v>
      </c>
    </row>
    <row r="726" spans="1:9" x14ac:dyDescent="0.25">
      <c r="A726">
        <v>10304</v>
      </c>
      <c r="B726" t="s">
        <v>266</v>
      </c>
      <c r="C726" s="6">
        <v>42625</v>
      </c>
      <c r="D726" s="6">
        <v>42653</v>
      </c>
      <c r="E726" s="6">
        <v>42630</v>
      </c>
      <c r="F726" s="3" t="s">
        <v>645</v>
      </c>
      <c r="G726" s="11">
        <v>318.95</v>
      </c>
      <c r="H726" s="3" t="s">
        <v>2</v>
      </c>
      <c r="I726" s="3" t="str">
        <f t="shared" si="11"/>
        <v>Sep</v>
      </c>
    </row>
    <row r="727" spans="1:9" x14ac:dyDescent="0.25">
      <c r="A727">
        <v>10319</v>
      </c>
      <c r="B727" t="s">
        <v>266</v>
      </c>
      <c r="C727" s="6">
        <v>42645</v>
      </c>
      <c r="D727" s="6">
        <v>42673</v>
      </c>
      <c r="E727" s="6">
        <v>42654</v>
      </c>
      <c r="F727" s="3" t="s">
        <v>646</v>
      </c>
      <c r="G727" s="11">
        <v>322.5</v>
      </c>
      <c r="H727" s="3" t="s">
        <v>2</v>
      </c>
      <c r="I727" s="3" t="str">
        <f t="shared" si="11"/>
        <v>Oct</v>
      </c>
    </row>
    <row r="728" spans="1:9" x14ac:dyDescent="0.25">
      <c r="A728">
        <v>10518</v>
      </c>
      <c r="B728" t="s">
        <v>266</v>
      </c>
      <c r="C728" s="6">
        <v>42850</v>
      </c>
      <c r="D728" s="6">
        <v>42864</v>
      </c>
      <c r="E728" s="6">
        <v>42860</v>
      </c>
      <c r="F728" s="3" t="s">
        <v>645</v>
      </c>
      <c r="G728" s="11">
        <v>1090.75</v>
      </c>
      <c r="H728" s="3" t="s">
        <v>2</v>
      </c>
      <c r="I728" s="3" t="str">
        <f t="shared" si="11"/>
        <v>Apr</v>
      </c>
    </row>
    <row r="729" spans="1:9" x14ac:dyDescent="0.25">
      <c r="A729">
        <v>10576</v>
      </c>
      <c r="B729" t="s">
        <v>266</v>
      </c>
      <c r="C729" s="6">
        <v>42909</v>
      </c>
      <c r="D729" s="6">
        <v>42923</v>
      </c>
      <c r="E729" s="6">
        <v>42916</v>
      </c>
      <c r="F729" s="3" t="s">
        <v>646</v>
      </c>
      <c r="G729" s="11">
        <v>92.8</v>
      </c>
      <c r="H729" s="3" t="s">
        <v>2</v>
      </c>
      <c r="I729" s="3" t="str">
        <f t="shared" si="11"/>
        <v>Jun</v>
      </c>
    </row>
    <row r="730" spans="1:9" x14ac:dyDescent="0.25">
      <c r="A730">
        <v>10676</v>
      </c>
      <c r="B730" t="s">
        <v>266</v>
      </c>
      <c r="C730" s="6">
        <v>43000</v>
      </c>
      <c r="D730" s="6">
        <v>43028</v>
      </c>
      <c r="E730" s="6">
        <v>43007</v>
      </c>
      <c r="F730" s="3" t="s">
        <v>645</v>
      </c>
      <c r="G730" s="11">
        <v>10.049999999999999</v>
      </c>
      <c r="H730" s="3" t="s">
        <v>2</v>
      </c>
      <c r="I730" s="3" t="str">
        <f t="shared" si="11"/>
        <v>Sep</v>
      </c>
    </row>
    <row r="731" spans="1:9" x14ac:dyDescent="0.25">
      <c r="A731">
        <v>10842</v>
      </c>
      <c r="B731" t="s">
        <v>266</v>
      </c>
      <c r="C731" s="6">
        <v>43120</v>
      </c>
      <c r="D731" s="6">
        <v>43148</v>
      </c>
      <c r="E731" s="6">
        <v>43129</v>
      </c>
      <c r="F731" s="3" t="s">
        <v>646</v>
      </c>
      <c r="G731" s="11">
        <v>272.10000000000002</v>
      </c>
      <c r="H731" s="3" t="s">
        <v>2</v>
      </c>
      <c r="I731" s="3" t="str">
        <f t="shared" si="11"/>
        <v>Jan</v>
      </c>
    </row>
    <row r="732" spans="1:9" x14ac:dyDescent="0.25">
      <c r="A732">
        <v>10915</v>
      </c>
      <c r="B732" t="s">
        <v>266</v>
      </c>
      <c r="C732" s="6">
        <v>43158</v>
      </c>
      <c r="D732" s="6">
        <v>43186</v>
      </c>
      <c r="E732" s="6">
        <v>43161</v>
      </c>
      <c r="F732" s="3" t="s">
        <v>645</v>
      </c>
      <c r="G732" s="11">
        <v>17.549999999999997</v>
      </c>
      <c r="H732" s="3" t="s">
        <v>2</v>
      </c>
      <c r="I732" s="3" t="str">
        <f t="shared" si="11"/>
        <v>Feb</v>
      </c>
    </row>
    <row r="733" spans="1:9" x14ac:dyDescent="0.25">
      <c r="A733">
        <v>11069</v>
      </c>
      <c r="B733" t="s">
        <v>266</v>
      </c>
      <c r="C733" s="6">
        <v>43224</v>
      </c>
      <c r="D733" s="6">
        <v>43252</v>
      </c>
      <c r="E733" s="6">
        <v>43226</v>
      </c>
      <c r="F733" s="3" t="s">
        <v>645</v>
      </c>
      <c r="G733" s="11">
        <v>78.349999999999994</v>
      </c>
      <c r="H733" s="3" t="s">
        <v>2</v>
      </c>
      <c r="I733" s="3" t="str">
        <f t="shared" si="11"/>
        <v>May</v>
      </c>
    </row>
    <row r="734" spans="1:9" x14ac:dyDescent="0.25">
      <c r="A734">
        <v>10249</v>
      </c>
      <c r="B734" t="s">
        <v>268</v>
      </c>
      <c r="C734" s="6">
        <v>42556</v>
      </c>
      <c r="D734" s="6">
        <v>42598</v>
      </c>
      <c r="E734" s="6">
        <v>42561</v>
      </c>
      <c r="F734" s="3" t="s">
        <v>644</v>
      </c>
      <c r="G734" s="11">
        <v>58.05</v>
      </c>
      <c r="H734" s="3" t="s">
        <v>379</v>
      </c>
      <c r="I734" s="3" t="str">
        <f t="shared" si="11"/>
        <v>Jul</v>
      </c>
    </row>
    <row r="735" spans="1:9" x14ac:dyDescent="0.25">
      <c r="A735">
        <v>10292</v>
      </c>
      <c r="B735" t="s">
        <v>268</v>
      </c>
      <c r="C735" s="6">
        <v>42610</v>
      </c>
      <c r="D735" s="6">
        <v>42638</v>
      </c>
      <c r="E735" s="6">
        <v>42615</v>
      </c>
      <c r="F735" s="3" t="s">
        <v>645</v>
      </c>
      <c r="G735" s="11">
        <v>6.75</v>
      </c>
      <c r="H735" s="3" t="s">
        <v>379</v>
      </c>
      <c r="I735" s="3" t="str">
        <f t="shared" si="11"/>
        <v>Aug</v>
      </c>
    </row>
    <row r="736" spans="1:9" x14ac:dyDescent="0.25">
      <c r="A736">
        <v>10496</v>
      </c>
      <c r="B736" t="s">
        <v>268</v>
      </c>
      <c r="C736" s="6">
        <v>42829</v>
      </c>
      <c r="D736" s="6">
        <v>42857</v>
      </c>
      <c r="E736" s="6">
        <v>42832</v>
      </c>
      <c r="F736" s="3" t="s">
        <v>645</v>
      </c>
      <c r="G736" s="11">
        <v>233.85000000000002</v>
      </c>
      <c r="H736" s="3" t="s">
        <v>379</v>
      </c>
      <c r="I736" s="3" t="str">
        <f t="shared" si="11"/>
        <v>Apr</v>
      </c>
    </row>
    <row r="737" spans="1:9" x14ac:dyDescent="0.25">
      <c r="A737">
        <v>10606</v>
      </c>
      <c r="B737" t="s">
        <v>268</v>
      </c>
      <c r="C737" s="6">
        <v>42938</v>
      </c>
      <c r="D737" s="6">
        <v>42966</v>
      </c>
      <c r="E737" s="6">
        <v>42947</v>
      </c>
      <c r="F737" s="3" t="s">
        <v>646</v>
      </c>
      <c r="G737" s="11">
        <v>397</v>
      </c>
      <c r="H737" s="3" t="s">
        <v>379</v>
      </c>
      <c r="I737" s="3" t="str">
        <f t="shared" si="11"/>
        <v>Jul</v>
      </c>
    </row>
    <row r="738" spans="1:9" x14ac:dyDescent="0.25">
      <c r="A738">
        <v>10830</v>
      </c>
      <c r="B738" t="s">
        <v>268</v>
      </c>
      <c r="C738" s="6">
        <v>43113</v>
      </c>
      <c r="D738" s="6">
        <v>43155</v>
      </c>
      <c r="E738" s="6">
        <v>43121</v>
      </c>
      <c r="F738" s="3" t="s">
        <v>645</v>
      </c>
      <c r="G738" s="11">
        <v>409.15</v>
      </c>
      <c r="H738" s="3" t="s">
        <v>379</v>
      </c>
      <c r="I738" s="3" t="str">
        <f t="shared" si="11"/>
        <v>Jan</v>
      </c>
    </row>
    <row r="739" spans="1:9" x14ac:dyDescent="0.25">
      <c r="A739">
        <v>10834</v>
      </c>
      <c r="B739" t="s">
        <v>268</v>
      </c>
      <c r="C739" s="6">
        <v>43115</v>
      </c>
      <c r="D739" s="6">
        <v>43143</v>
      </c>
      <c r="E739" s="6">
        <v>43119</v>
      </c>
      <c r="F739" s="3" t="s">
        <v>646</v>
      </c>
      <c r="G739" s="11">
        <v>148.9</v>
      </c>
      <c r="H739" s="3" t="s">
        <v>379</v>
      </c>
      <c r="I739" s="3" t="str">
        <f t="shared" si="11"/>
        <v>Jan</v>
      </c>
    </row>
    <row r="740" spans="1:9" x14ac:dyDescent="0.25">
      <c r="A740">
        <v>10839</v>
      </c>
      <c r="B740" t="s">
        <v>268</v>
      </c>
      <c r="C740" s="6">
        <v>43119</v>
      </c>
      <c r="D740" s="6">
        <v>43147</v>
      </c>
      <c r="E740" s="6">
        <v>43122</v>
      </c>
      <c r="F740" s="3" t="s">
        <v>646</v>
      </c>
      <c r="G740" s="11">
        <v>177.15</v>
      </c>
      <c r="H740" s="3" t="s">
        <v>379</v>
      </c>
      <c r="I740" s="3" t="str">
        <f t="shared" si="11"/>
        <v>Jan</v>
      </c>
    </row>
    <row r="741" spans="1:9" x14ac:dyDescent="0.25">
      <c r="A741">
        <v>10574</v>
      </c>
      <c r="B741" t="s">
        <v>271</v>
      </c>
      <c r="C741" s="6">
        <v>42905</v>
      </c>
      <c r="D741" s="6">
        <v>42933</v>
      </c>
      <c r="E741" s="6">
        <v>42916</v>
      </c>
      <c r="F741" s="3" t="s">
        <v>645</v>
      </c>
      <c r="G741" s="11">
        <v>188</v>
      </c>
      <c r="H741" s="3" t="s">
        <v>380</v>
      </c>
      <c r="I741" s="3" t="str">
        <f t="shared" si="11"/>
        <v>Jun</v>
      </c>
    </row>
    <row r="742" spans="1:9" x14ac:dyDescent="0.25">
      <c r="A742">
        <v>10577</v>
      </c>
      <c r="B742" t="s">
        <v>271</v>
      </c>
      <c r="C742" s="6">
        <v>42909</v>
      </c>
      <c r="D742" s="6">
        <v>42951</v>
      </c>
      <c r="E742" s="6">
        <v>42916</v>
      </c>
      <c r="F742" s="3" t="s">
        <v>645</v>
      </c>
      <c r="G742" s="11">
        <v>127.05</v>
      </c>
      <c r="H742" s="3" t="s">
        <v>380</v>
      </c>
      <c r="I742" s="3" t="str">
        <f t="shared" si="11"/>
        <v>Jun</v>
      </c>
    </row>
    <row r="743" spans="1:9" x14ac:dyDescent="0.25">
      <c r="A743">
        <v>10822</v>
      </c>
      <c r="B743" t="s">
        <v>271</v>
      </c>
      <c r="C743" s="6">
        <v>43108</v>
      </c>
      <c r="D743" s="6">
        <v>43136</v>
      </c>
      <c r="E743" s="6">
        <v>43116</v>
      </c>
      <c r="F743" s="3" t="s">
        <v>646</v>
      </c>
      <c r="G743" s="11">
        <v>35</v>
      </c>
      <c r="H743" s="3" t="s">
        <v>380</v>
      </c>
      <c r="I743" s="3" t="str">
        <f t="shared" si="11"/>
        <v>Jan</v>
      </c>
    </row>
    <row r="744" spans="1:9" x14ac:dyDescent="0.25">
      <c r="A744">
        <v>10367</v>
      </c>
      <c r="B744" t="s">
        <v>274</v>
      </c>
      <c r="C744" s="6">
        <v>42702</v>
      </c>
      <c r="D744" s="6">
        <v>42730</v>
      </c>
      <c r="E744" s="6">
        <v>42706</v>
      </c>
      <c r="F744" s="3" t="s">
        <v>646</v>
      </c>
      <c r="G744" s="11">
        <v>67.75</v>
      </c>
      <c r="H744" s="3" t="s">
        <v>381</v>
      </c>
      <c r="I744" s="3" t="str">
        <f t="shared" si="11"/>
        <v>Nov</v>
      </c>
    </row>
    <row r="745" spans="1:9" x14ac:dyDescent="0.25">
      <c r="A745">
        <v>10399</v>
      </c>
      <c r="B745" t="s">
        <v>274</v>
      </c>
      <c r="C745" s="6">
        <v>42735</v>
      </c>
      <c r="D745" s="6">
        <v>42749</v>
      </c>
      <c r="E745" s="6">
        <v>42743</v>
      </c>
      <c r="F745" s="3" t="s">
        <v>646</v>
      </c>
      <c r="G745" s="11">
        <v>136.80000000000001</v>
      </c>
      <c r="H745" s="3" t="s">
        <v>381</v>
      </c>
      <c r="I745" s="3" t="str">
        <f t="shared" si="11"/>
        <v>Dec</v>
      </c>
    </row>
    <row r="746" spans="1:9" x14ac:dyDescent="0.25">
      <c r="A746">
        <v>10465</v>
      </c>
      <c r="B746" t="s">
        <v>274</v>
      </c>
      <c r="C746" s="6">
        <v>42799</v>
      </c>
      <c r="D746" s="6">
        <v>42827</v>
      </c>
      <c r="E746" s="6">
        <v>42808</v>
      </c>
      <c r="F746" s="3" t="s">
        <v>646</v>
      </c>
      <c r="G746" s="11">
        <v>725.19999999999993</v>
      </c>
      <c r="H746" s="3" t="s">
        <v>381</v>
      </c>
      <c r="I746" s="3" t="str">
        <f t="shared" si="11"/>
        <v>Mar</v>
      </c>
    </row>
    <row r="747" spans="1:9" x14ac:dyDescent="0.25">
      <c r="A747">
        <v>10591</v>
      </c>
      <c r="B747" t="s">
        <v>274</v>
      </c>
      <c r="C747" s="6">
        <v>42923</v>
      </c>
      <c r="D747" s="6">
        <v>42937</v>
      </c>
      <c r="E747" s="6">
        <v>42932</v>
      </c>
      <c r="F747" s="3" t="s">
        <v>644</v>
      </c>
      <c r="G747" s="11">
        <v>279.60000000000002</v>
      </c>
      <c r="H747" s="3" t="s">
        <v>381</v>
      </c>
      <c r="I747" s="3" t="str">
        <f t="shared" si="11"/>
        <v>Jul</v>
      </c>
    </row>
    <row r="748" spans="1:9" x14ac:dyDescent="0.25">
      <c r="A748">
        <v>10602</v>
      </c>
      <c r="B748" t="s">
        <v>274</v>
      </c>
      <c r="C748" s="6">
        <v>42933</v>
      </c>
      <c r="D748" s="6">
        <v>42961</v>
      </c>
      <c r="E748" s="6">
        <v>42938</v>
      </c>
      <c r="F748" s="3" t="s">
        <v>645</v>
      </c>
      <c r="G748" s="11">
        <v>14.6</v>
      </c>
      <c r="H748" s="3" t="s">
        <v>381</v>
      </c>
      <c r="I748" s="3" t="str">
        <f t="shared" si="11"/>
        <v>Jul</v>
      </c>
    </row>
    <row r="749" spans="1:9" x14ac:dyDescent="0.25">
      <c r="A749">
        <v>10688</v>
      </c>
      <c r="B749" t="s">
        <v>274</v>
      </c>
      <c r="C749" s="6">
        <v>43009</v>
      </c>
      <c r="D749" s="6">
        <v>43023</v>
      </c>
      <c r="E749" s="6">
        <v>43015</v>
      </c>
      <c r="F749" s="3" t="s">
        <v>645</v>
      </c>
      <c r="G749" s="11">
        <v>1495.4499999999998</v>
      </c>
      <c r="H749" s="3" t="s">
        <v>381</v>
      </c>
      <c r="I749" s="3" t="str">
        <f t="shared" si="11"/>
        <v>Oct</v>
      </c>
    </row>
    <row r="750" spans="1:9" x14ac:dyDescent="0.25">
      <c r="A750">
        <v>10744</v>
      </c>
      <c r="B750" t="s">
        <v>274</v>
      </c>
      <c r="C750" s="6">
        <v>43056</v>
      </c>
      <c r="D750" s="6">
        <v>43084</v>
      </c>
      <c r="E750" s="6">
        <v>43063</v>
      </c>
      <c r="F750" s="3" t="s">
        <v>644</v>
      </c>
      <c r="G750" s="11">
        <v>345.95</v>
      </c>
      <c r="H750" s="3" t="s">
        <v>381</v>
      </c>
      <c r="I750" s="3" t="str">
        <f t="shared" si="11"/>
        <v>Nov</v>
      </c>
    </row>
    <row r="751" spans="1:9" x14ac:dyDescent="0.25">
      <c r="A751">
        <v>10769</v>
      </c>
      <c r="B751" t="s">
        <v>274</v>
      </c>
      <c r="C751" s="6">
        <v>43077</v>
      </c>
      <c r="D751" s="6">
        <v>43105</v>
      </c>
      <c r="E751" s="6">
        <v>43081</v>
      </c>
      <c r="F751" s="3" t="s">
        <v>644</v>
      </c>
      <c r="G751" s="11">
        <v>325.3</v>
      </c>
      <c r="H751" s="3" t="s">
        <v>381</v>
      </c>
      <c r="I751" s="3" t="str">
        <f t="shared" si="11"/>
        <v>Dec</v>
      </c>
    </row>
    <row r="752" spans="1:9" x14ac:dyDescent="0.25">
      <c r="A752">
        <v>10921</v>
      </c>
      <c r="B752" t="s">
        <v>274</v>
      </c>
      <c r="C752" s="6">
        <v>43162</v>
      </c>
      <c r="D752" s="6">
        <v>43204</v>
      </c>
      <c r="E752" s="6">
        <v>43168</v>
      </c>
      <c r="F752" s="3" t="s">
        <v>644</v>
      </c>
      <c r="G752" s="11">
        <v>882.4</v>
      </c>
      <c r="H752" s="3" t="s">
        <v>381</v>
      </c>
      <c r="I752" s="3" t="str">
        <f t="shared" si="11"/>
        <v>Mar</v>
      </c>
    </row>
    <row r="753" spans="1:9" x14ac:dyDescent="0.25">
      <c r="A753">
        <v>10946</v>
      </c>
      <c r="B753" t="s">
        <v>274</v>
      </c>
      <c r="C753" s="6">
        <v>43171</v>
      </c>
      <c r="D753" s="6">
        <v>43199</v>
      </c>
      <c r="E753" s="6">
        <v>43178</v>
      </c>
      <c r="F753" s="3" t="s">
        <v>645</v>
      </c>
      <c r="G753" s="11">
        <v>136</v>
      </c>
      <c r="H753" s="3" t="s">
        <v>381</v>
      </c>
      <c r="I753" s="3" t="str">
        <f t="shared" si="11"/>
        <v>Mar</v>
      </c>
    </row>
    <row r="754" spans="1:9" x14ac:dyDescent="0.25">
      <c r="A754">
        <v>10994</v>
      </c>
      <c r="B754" t="s">
        <v>274</v>
      </c>
      <c r="C754" s="6">
        <v>43192</v>
      </c>
      <c r="D754" s="6">
        <v>43206</v>
      </c>
      <c r="E754" s="6">
        <v>43199</v>
      </c>
      <c r="F754" s="3" t="s">
        <v>646</v>
      </c>
      <c r="G754" s="11">
        <v>327.64999999999998</v>
      </c>
      <c r="H754" s="3" t="s">
        <v>381</v>
      </c>
      <c r="I754" s="3" t="str">
        <f t="shared" si="11"/>
        <v>Apr</v>
      </c>
    </row>
    <row r="755" spans="1:9" x14ac:dyDescent="0.25">
      <c r="A755">
        <v>10251</v>
      </c>
      <c r="B755" t="s">
        <v>277</v>
      </c>
      <c r="C755" s="6">
        <v>42559</v>
      </c>
      <c r="D755" s="6">
        <v>42587</v>
      </c>
      <c r="E755" s="6">
        <v>42566</v>
      </c>
      <c r="F755" s="3" t="s">
        <v>644</v>
      </c>
      <c r="G755" s="11">
        <v>206.70000000000002</v>
      </c>
      <c r="H755" s="3" t="s">
        <v>382</v>
      </c>
      <c r="I755" s="3" t="str">
        <f t="shared" si="11"/>
        <v>Jul</v>
      </c>
    </row>
    <row r="756" spans="1:9" x14ac:dyDescent="0.25">
      <c r="A756">
        <v>10334</v>
      </c>
      <c r="B756" t="s">
        <v>277</v>
      </c>
      <c r="C756" s="6">
        <v>42664</v>
      </c>
      <c r="D756" s="6">
        <v>42692</v>
      </c>
      <c r="E756" s="6">
        <v>42671</v>
      </c>
      <c r="F756" s="3" t="s">
        <v>645</v>
      </c>
      <c r="G756" s="11">
        <v>42.800000000000004</v>
      </c>
      <c r="H756" s="3" t="s">
        <v>382</v>
      </c>
      <c r="I756" s="3" t="str">
        <f t="shared" si="11"/>
        <v>Oct</v>
      </c>
    </row>
    <row r="757" spans="1:9" x14ac:dyDescent="0.25">
      <c r="A757">
        <v>10450</v>
      </c>
      <c r="B757" t="s">
        <v>277</v>
      </c>
      <c r="C757" s="6">
        <v>42785</v>
      </c>
      <c r="D757" s="6">
        <v>42813</v>
      </c>
      <c r="E757" s="6">
        <v>42805</v>
      </c>
      <c r="F757" s="3" t="s">
        <v>645</v>
      </c>
      <c r="G757" s="11">
        <v>36.150000000000006</v>
      </c>
      <c r="H757" s="3" t="s">
        <v>382</v>
      </c>
      <c r="I757" s="3" t="str">
        <f t="shared" si="11"/>
        <v>Feb</v>
      </c>
    </row>
    <row r="758" spans="1:9" x14ac:dyDescent="0.25">
      <c r="A758">
        <v>10459</v>
      </c>
      <c r="B758" t="s">
        <v>277</v>
      </c>
      <c r="C758" s="6">
        <v>42793</v>
      </c>
      <c r="D758" s="6">
        <v>42821</v>
      </c>
      <c r="E758" s="6">
        <v>42794</v>
      </c>
      <c r="F758" s="3" t="s">
        <v>645</v>
      </c>
      <c r="G758" s="11">
        <v>125.45</v>
      </c>
      <c r="H758" s="3" t="s">
        <v>382</v>
      </c>
      <c r="I758" s="3" t="str">
        <f t="shared" si="11"/>
        <v>Feb</v>
      </c>
    </row>
    <row r="759" spans="1:9" x14ac:dyDescent="0.25">
      <c r="A759">
        <v>10478</v>
      </c>
      <c r="B759" t="s">
        <v>277</v>
      </c>
      <c r="C759" s="6">
        <v>42812</v>
      </c>
      <c r="D759" s="6">
        <v>42826</v>
      </c>
      <c r="E759" s="6">
        <v>42820</v>
      </c>
      <c r="F759" s="3" t="s">
        <v>646</v>
      </c>
      <c r="G759" s="11">
        <v>24.049999999999997</v>
      </c>
      <c r="H759" s="3" t="s">
        <v>382</v>
      </c>
      <c r="I759" s="3" t="str">
        <f t="shared" si="11"/>
        <v>Mar</v>
      </c>
    </row>
    <row r="760" spans="1:9" x14ac:dyDescent="0.25">
      <c r="A760">
        <v>10546</v>
      </c>
      <c r="B760" t="s">
        <v>277</v>
      </c>
      <c r="C760" s="6">
        <v>42878</v>
      </c>
      <c r="D760" s="6">
        <v>42906</v>
      </c>
      <c r="E760" s="6">
        <v>42882</v>
      </c>
      <c r="F760" s="3" t="s">
        <v>646</v>
      </c>
      <c r="G760" s="11">
        <v>973.6</v>
      </c>
      <c r="H760" s="3" t="s">
        <v>382</v>
      </c>
      <c r="I760" s="3" t="str">
        <f t="shared" si="11"/>
        <v>May</v>
      </c>
    </row>
    <row r="761" spans="1:9" x14ac:dyDescent="0.25">
      <c r="A761">
        <v>10806</v>
      </c>
      <c r="B761" t="s">
        <v>277</v>
      </c>
      <c r="C761" s="6">
        <v>43100</v>
      </c>
      <c r="D761" s="6">
        <v>43128</v>
      </c>
      <c r="E761" s="6">
        <v>43105</v>
      </c>
      <c r="F761" s="3" t="s">
        <v>645</v>
      </c>
      <c r="G761" s="11">
        <v>110.55</v>
      </c>
      <c r="H761" s="3" t="s">
        <v>382</v>
      </c>
      <c r="I761" s="3" t="str">
        <f t="shared" si="11"/>
        <v>Dec</v>
      </c>
    </row>
    <row r="762" spans="1:9" x14ac:dyDescent="0.25">
      <c r="A762">
        <v>10814</v>
      </c>
      <c r="B762" t="s">
        <v>277</v>
      </c>
      <c r="C762" s="6">
        <v>43105</v>
      </c>
      <c r="D762" s="6">
        <v>43133</v>
      </c>
      <c r="E762" s="6">
        <v>43114</v>
      </c>
      <c r="F762" s="3" t="s">
        <v>646</v>
      </c>
      <c r="G762" s="11">
        <v>654.70000000000005</v>
      </c>
      <c r="H762" s="3" t="s">
        <v>382</v>
      </c>
      <c r="I762" s="3" t="str">
        <f t="shared" si="11"/>
        <v>Jan</v>
      </c>
    </row>
    <row r="763" spans="1:9" x14ac:dyDescent="0.25">
      <c r="A763">
        <v>10843</v>
      </c>
      <c r="B763" t="s">
        <v>277</v>
      </c>
      <c r="C763" s="6">
        <v>43121</v>
      </c>
      <c r="D763" s="6">
        <v>43149</v>
      </c>
      <c r="E763" s="6">
        <v>43126</v>
      </c>
      <c r="F763" s="3" t="s">
        <v>645</v>
      </c>
      <c r="G763" s="11">
        <v>46.3</v>
      </c>
      <c r="H763" s="3" t="s">
        <v>382</v>
      </c>
      <c r="I763" s="3" t="str">
        <f t="shared" si="11"/>
        <v>Jan</v>
      </c>
    </row>
    <row r="764" spans="1:9" x14ac:dyDescent="0.25">
      <c r="A764">
        <v>10850</v>
      </c>
      <c r="B764" t="s">
        <v>277</v>
      </c>
      <c r="C764" s="6">
        <v>43123</v>
      </c>
      <c r="D764" s="6">
        <v>43165</v>
      </c>
      <c r="E764" s="6">
        <v>43130</v>
      </c>
      <c r="F764" s="3" t="s">
        <v>644</v>
      </c>
      <c r="G764" s="11">
        <v>245.95</v>
      </c>
      <c r="H764" s="3" t="s">
        <v>382</v>
      </c>
      <c r="I764" s="3" t="str">
        <f t="shared" si="11"/>
        <v>Jan</v>
      </c>
    </row>
    <row r="765" spans="1:9" x14ac:dyDescent="0.25">
      <c r="A765">
        <v>10274</v>
      </c>
      <c r="B765" t="s">
        <v>280</v>
      </c>
      <c r="C765" s="6">
        <v>42588</v>
      </c>
      <c r="D765" s="6">
        <v>42616</v>
      </c>
      <c r="E765" s="6">
        <v>42598</v>
      </c>
      <c r="F765" s="3" t="s">
        <v>644</v>
      </c>
      <c r="G765" s="11">
        <v>30.049999999999997</v>
      </c>
      <c r="H765" s="3" t="s">
        <v>383</v>
      </c>
      <c r="I765" s="3" t="str">
        <f t="shared" si="11"/>
        <v>Aug</v>
      </c>
    </row>
    <row r="766" spans="1:9" x14ac:dyDescent="0.25">
      <c r="A766">
        <v>10295</v>
      </c>
      <c r="B766" t="s">
        <v>280</v>
      </c>
      <c r="C766" s="6">
        <v>42615</v>
      </c>
      <c r="D766" s="6">
        <v>42643</v>
      </c>
      <c r="E766" s="6">
        <v>42623</v>
      </c>
      <c r="F766" s="3" t="s">
        <v>645</v>
      </c>
      <c r="G766" s="11">
        <v>5.75</v>
      </c>
      <c r="H766" s="3" t="s">
        <v>383</v>
      </c>
      <c r="I766" s="3" t="str">
        <f t="shared" si="11"/>
        <v>Sep</v>
      </c>
    </row>
    <row r="767" spans="1:9" x14ac:dyDescent="0.25">
      <c r="A767">
        <v>10737</v>
      </c>
      <c r="B767" t="s">
        <v>280</v>
      </c>
      <c r="C767" s="6">
        <v>43050</v>
      </c>
      <c r="D767" s="6">
        <v>43078</v>
      </c>
      <c r="E767" s="6">
        <v>43057</v>
      </c>
      <c r="F767" s="3" t="s">
        <v>645</v>
      </c>
      <c r="G767" s="11">
        <v>38.950000000000003</v>
      </c>
      <c r="H767" s="3" t="s">
        <v>383</v>
      </c>
      <c r="I767" s="3" t="str">
        <f t="shared" si="11"/>
        <v>Nov</v>
      </c>
    </row>
    <row r="768" spans="1:9" x14ac:dyDescent="0.25">
      <c r="A768">
        <v>10739</v>
      </c>
      <c r="B768" t="s">
        <v>280</v>
      </c>
      <c r="C768" s="6">
        <v>43051</v>
      </c>
      <c r="D768" s="6">
        <v>43079</v>
      </c>
      <c r="E768" s="6">
        <v>43056</v>
      </c>
      <c r="F768" s="3" t="s">
        <v>646</v>
      </c>
      <c r="G768" s="11">
        <v>55.4</v>
      </c>
      <c r="H768" s="3" t="s">
        <v>383</v>
      </c>
      <c r="I768" s="3" t="str">
        <f t="shared" si="11"/>
        <v>Nov</v>
      </c>
    </row>
    <row r="769" spans="1:9" x14ac:dyDescent="0.25">
      <c r="A769">
        <v>10301</v>
      </c>
      <c r="B769" t="s">
        <v>283</v>
      </c>
      <c r="C769" s="6">
        <v>42622</v>
      </c>
      <c r="D769" s="6">
        <v>42650</v>
      </c>
      <c r="E769" s="6">
        <v>42630</v>
      </c>
      <c r="F769" s="3" t="s">
        <v>645</v>
      </c>
      <c r="G769" s="11">
        <v>225.39999999999998</v>
      </c>
      <c r="H769" s="3" t="s">
        <v>384</v>
      </c>
      <c r="I769" s="3" t="str">
        <f t="shared" si="11"/>
        <v>Sep</v>
      </c>
    </row>
    <row r="770" spans="1:9" x14ac:dyDescent="0.25">
      <c r="A770">
        <v>10312</v>
      </c>
      <c r="B770" t="s">
        <v>283</v>
      </c>
      <c r="C770" s="6">
        <v>42636</v>
      </c>
      <c r="D770" s="6">
        <v>42664</v>
      </c>
      <c r="E770" s="6">
        <v>42646</v>
      </c>
      <c r="F770" s="3" t="s">
        <v>645</v>
      </c>
      <c r="G770" s="11">
        <v>201.29999999999998</v>
      </c>
      <c r="H770" s="3" t="s">
        <v>384</v>
      </c>
      <c r="I770" s="3" t="str">
        <f t="shared" si="11"/>
        <v>Sep</v>
      </c>
    </row>
    <row r="771" spans="1:9" x14ac:dyDescent="0.25">
      <c r="A771">
        <v>10348</v>
      </c>
      <c r="B771" t="s">
        <v>283</v>
      </c>
      <c r="C771" s="6">
        <v>42681</v>
      </c>
      <c r="D771" s="6">
        <v>42709</v>
      </c>
      <c r="E771" s="6">
        <v>42689</v>
      </c>
      <c r="F771" s="3" t="s">
        <v>645</v>
      </c>
      <c r="G771" s="11">
        <v>3.9000000000000004</v>
      </c>
      <c r="H771" s="3" t="s">
        <v>384</v>
      </c>
      <c r="I771" s="3" t="str">
        <f t="shared" ref="I771:I832" si="12">TEXT(C771,"mmm")</f>
        <v>Nov</v>
      </c>
    </row>
    <row r="772" spans="1:9" x14ac:dyDescent="0.25">
      <c r="A772">
        <v>10356</v>
      </c>
      <c r="B772" t="s">
        <v>283</v>
      </c>
      <c r="C772" s="6">
        <v>42692</v>
      </c>
      <c r="D772" s="6">
        <v>42720</v>
      </c>
      <c r="E772" s="6">
        <v>42701</v>
      </c>
      <c r="F772" s="3" t="s">
        <v>645</v>
      </c>
      <c r="G772" s="11">
        <v>183.55</v>
      </c>
      <c r="H772" s="3" t="s">
        <v>384</v>
      </c>
      <c r="I772" s="3" t="str">
        <f t="shared" si="12"/>
        <v>Nov</v>
      </c>
    </row>
    <row r="773" spans="1:9" x14ac:dyDescent="0.25">
      <c r="A773">
        <v>10513</v>
      </c>
      <c r="B773" t="s">
        <v>283</v>
      </c>
      <c r="C773" s="6">
        <v>42847</v>
      </c>
      <c r="D773" s="6">
        <v>42889</v>
      </c>
      <c r="E773" s="6">
        <v>42853</v>
      </c>
      <c r="F773" s="3" t="s">
        <v>644</v>
      </c>
      <c r="G773" s="11">
        <v>528.25</v>
      </c>
      <c r="H773" s="3" t="s">
        <v>384</v>
      </c>
      <c r="I773" s="3" t="str">
        <f t="shared" si="12"/>
        <v>Apr</v>
      </c>
    </row>
    <row r="774" spans="1:9" x14ac:dyDescent="0.25">
      <c r="A774">
        <v>10632</v>
      </c>
      <c r="B774" t="s">
        <v>283</v>
      </c>
      <c r="C774" s="6">
        <v>42961</v>
      </c>
      <c r="D774" s="6">
        <v>42989</v>
      </c>
      <c r="E774" s="6">
        <v>42966</v>
      </c>
      <c r="F774" s="3" t="s">
        <v>644</v>
      </c>
      <c r="G774" s="11">
        <v>206.9</v>
      </c>
      <c r="H774" s="3" t="s">
        <v>384</v>
      </c>
      <c r="I774" s="3" t="str">
        <f t="shared" si="12"/>
        <v>Aug</v>
      </c>
    </row>
    <row r="775" spans="1:9" x14ac:dyDescent="0.25">
      <c r="A775">
        <v>10640</v>
      </c>
      <c r="B775" t="s">
        <v>283</v>
      </c>
      <c r="C775" s="6">
        <v>42968</v>
      </c>
      <c r="D775" s="6">
        <v>42996</v>
      </c>
      <c r="E775" s="6">
        <v>42975</v>
      </c>
      <c r="F775" s="3" t="s">
        <v>644</v>
      </c>
      <c r="G775" s="11">
        <v>117.75</v>
      </c>
      <c r="H775" s="3" t="s">
        <v>384</v>
      </c>
      <c r="I775" s="3" t="str">
        <f t="shared" si="12"/>
        <v>Aug</v>
      </c>
    </row>
    <row r="776" spans="1:9" x14ac:dyDescent="0.25">
      <c r="A776">
        <v>10651</v>
      </c>
      <c r="B776" t="s">
        <v>283</v>
      </c>
      <c r="C776" s="6">
        <v>42979</v>
      </c>
      <c r="D776" s="6">
        <v>43007</v>
      </c>
      <c r="E776" s="6">
        <v>42989</v>
      </c>
      <c r="F776" s="3" t="s">
        <v>645</v>
      </c>
      <c r="G776" s="11">
        <v>103</v>
      </c>
      <c r="H776" s="3" t="s">
        <v>384</v>
      </c>
      <c r="I776" s="3" t="str">
        <f t="shared" si="12"/>
        <v>Sep</v>
      </c>
    </row>
    <row r="777" spans="1:9" x14ac:dyDescent="0.25">
      <c r="A777">
        <v>10668</v>
      </c>
      <c r="B777" t="s">
        <v>283</v>
      </c>
      <c r="C777" s="6">
        <v>42993</v>
      </c>
      <c r="D777" s="6">
        <v>43021</v>
      </c>
      <c r="E777" s="6">
        <v>43001</v>
      </c>
      <c r="F777" s="3" t="s">
        <v>645</v>
      </c>
      <c r="G777" s="11">
        <v>236.1</v>
      </c>
      <c r="H777" s="3" t="s">
        <v>384</v>
      </c>
      <c r="I777" s="3" t="str">
        <f t="shared" si="12"/>
        <v>Sep</v>
      </c>
    </row>
    <row r="778" spans="1:9" x14ac:dyDescent="0.25">
      <c r="A778">
        <v>11046</v>
      </c>
      <c r="B778" t="s">
        <v>283</v>
      </c>
      <c r="C778" s="6">
        <v>43213</v>
      </c>
      <c r="D778" s="6">
        <v>43241</v>
      </c>
      <c r="E778" s="6">
        <v>43214</v>
      </c>
      <c r="F778" s="3" t="s">
        <v>645</v>
      </c>
      <c r="G778" s="11">
        <v>358.2</v>
      </c>
      <c r="H778" s="3" t="s">
        <v>384</v>
      </c>
      <c r="I778" s="3" t="str">
        <f t="shared" si="12"/>
        <v>Apr</v>
      </c>
    </row>
    <row r="779" spans="1:9" x14ac:dyDescent="0.25">
      <c r="A779">
        <v>10266</v>
      </c>
      <c r="B779" t="s">
        <v>286</v>
      </c>
      <c r="C779" s="6">
        <v>42577</v>
      </c>
      <c r="D779" s="6">
        <v>42619</v>
      </c>
      <c r="E779" s="6">
        <v>42582</v>
      </c>
      <c r="F779" s="3" t="s">
        <v>646</v>
      </c>
      <c r="G779" s="11">
        <v>128.65</v>
      </c>
      <c r="H779" s="3" t="s">
        <v>385</v>
      </c>
      <c r="I779" s="3" t="str">
        <f t="shared" si="12"/>
        <v>Jul</v>
      </c>
    </row>
    <row r="780" spans="1:9" x14ac:dyDescent="0.25">
      <c r="A780">
        <v>10270</v>
      </c>
      <c r="B780" t="s">
        <v>286</v>
      </c>
      <c r="C780" s="6">
        <v>42583</v>
      </c>
      <c r="D780" s="6">
        <v>42611</v>
      </c>
      <c r="E780" s="6">
        <v>42584</v>
      </c>
      <c r="F780" s="3" t="s">
        <v>644</v>
      </c>
      <c r="G780" s="11">
        <v>682.69999999999993</v>
      </c>
      <c r="H780" s="3" t="s">
        <v>385</v>
      </c>
      <c r="I780" s="3" t="str">
        <f t="shared" si="12"/>
        <v>Aug</v>
      </c>
    </row>
    <row r="781" spans="1:9" x14ac:dyDescent="0.25">
      <c r="A781">
        <v>10320</v>
      </c>
      <c r="B781" t="s">
        <v>286</v>
      </c>
      <c r="C781" s="6">
        <v>42646</v>
      </c>
      <c r="D781" s="6">
        <v>42660</v>
      </c>
      <c r="E781" s="6">
        <v>42661</v>
      </c>
      <c r="F781" s="3" t="s">
        <v>646</v>
      </c>
      <c r="G781" s="11">
        <v>172.85</v>
      </c>
      <c r="H781" s="3" t="s">
        <v>385</v>
      </c>
      <c r="I781" s="3" t="str">
        <f t="shared" si="12"/>
        <v>Oct</v>
      </c>
    </row>
    <row r="782" spans="1:9" x14ac:dyDescent="0.25">
      <c r="A782">
        <v>10333</v>
      </c>
      <c r="B782" t="s">
        <v>286</v>
      </c>
      <c r="C782" s="6">
        <v>42661</v>
      </c>
      <c r="D782" s="6">
        <v>42689</v>
      </c>
      <c r="E782" s="6">
        <v>42668</v>
      </c>
      <c r="F782" s="3" t="s">
        <v>646</v>
      </c>
      <c r="G782" s="11">
        <v>2.9499999999999997</v>
      </c>
      <c r="H782" s="3" t="s">
        <v>385</v>
      </c>
      <c r="I782" s="3" t="str">
        <f t="shared" si="12"/>
        <v>Oct</v>
      </c>
    </row>
    <row r="783" spans="1:9" x14ac:dyDescent="0.25">
      <c r="A783">
        <v>10412</v>
      </c>
      <c r="B783" t="s">
        <v>286</v>
      </c>
      <c r="C783" s="6">
        <v>42748</v>
      </c>
      <c r="D783" s="6">
        <v>42776</v>
      </c>
      <c r="E783" s="6">
        <v>42750</v>
      </c>
      <c r="F783" s="3" t="s">
        <v>645</v>
      </c>
      <c r="G783" s="11">
        <v>18.850000000000001</v>
      </c>
      <c r="H783" s="3" t="s">
        <v>385</v>
      </c>
      <c r="I783" s="3" t="str">
        <f t="shared" si="12"/>
        <v>Jan</v>
      </c>
    </row>
    <row r="784" spans="1:9" x14ac:dyDescent="0.25">
      <c r="A784">
        <v>10416</v>
      </c>
      <c r="B784" t="s">
        <v>286</v>
      </c>
      <c r="C784" s="6">
        <v>42751</v>
      </c>
      <c r="D784" s="6">
        <v>42779</v>
      </c>
      <c r="E784" s="6">
        <v>42762</v>
      </c>
      <c r="F784" s="3" t="s">
        <v>646</v>
      </c>
      <c r="G784" s="11">
        <v>113.6</v>
      </c>
      <c r="H784" s="3" t="s">
        <v>385</v>
      </c>
      <c r="I784" s="3" t="str">
        <f t="shared" si="12"/>
        <v>Jan</v>
      </c>
    </row>
    <row r="785" spans="1:9" x14ac:dyDescent="0.25">
      <c r="A785">
        <v>10437</v>
      </c>
      <c r="B785" t="s">
        <v>286</v>
      </c>
      <c r="C785" s="6">
        <v>42771</v>
      </c>
      <c r="D785" s="6">
        <v>42799</v>
      </c>
      <c r="E785" s="6">
        <v>42778</v>
      </c>
      <c r="F785" s="3" t="s">
        <v>644</v>
      </c>
      <c r="G785" s="11">
        <v>99.85</v>
      </c>
      <c r="H785" s="3" t="s">
        <v>385</v>
      </c>
      <c r="I785" s="3" t="str">
        <f t="shared" si="12"/>
        <v>Feb</v>
      </c>
    </row>
    <row r="786" spans="1:9" x14ac:dyDescent="0.25">
      <c r="A786">
        <v>10455</v>
      </c>
      <c r="B786" t="s">
        <v>286</v>
      </c>
      <c r="C786" s="6">
        <v>42790</v>
      </c>
      <c r="D786" s="6">
        <v>42832</v>
      </c>
      <c r="E786" s="6">
        <v>42797</v>
      </c>
      <c r="F786" s="3" t="s">
        <v>645</v>
      </c>
      <c r="G786" s="11">
        <v>902.25</v>
      </c>
      <c r="H786" s="3" t="s">
        <v>385</v>
      </c>
      <c r="I786" s="3" t="str">
        <f t="shared" si="12"/>
        <v>Feb</v>
      </c>
    </row>
    <row r="787" spans="1:9" x14ac:dyDescent="0.25">
      <c r="A787">
        <v>10526</v>
      </c>
      <c r="B787" t="s">
        <v>286</v>
      </c>
      <c r="C787" s="6">
        <v>42860</v>
      </c>
      <c r="D787" s="6">
        <v>42888</v>
      </c>
      <c r="E787" s="6">
        <v>42870</v>
      </c>
      <c r="F787" s="3" t="s">
        <v>645</v>
      </c>
      <c r="G787" s="11">
        <v>292.95000000000005</v>
      </c>
      <c r="H787" s="3" t="s">
        <v>385</v>
      </c>
      <c r="I787" s="3" t="str">
        <f t="shared" si="12"/>
        <v>May</v>
      </c>
    </row>
    <row r="788" spans="1:9" x14ac:dyDescent="0.25">
      <c r="A788">
        <v>10553</v>
      </c>
      <c r="B788" t="s">
        <v>286</v>
      </c>
      <c r="C788" s="6">
        <v>42885</v>
      </c>
      <c r="D788" s="6">
        <v>42913</v>
      </c>
      <c r="E788" s="6">
        <v>42889</v>
      </c>
      <c r="F788" s="3" t="s">
        <v>645</v>
      </c>
      <c r="G788" s="11">
        <v>747.45</v>
      </c>
      <c r="H788" s="3" t="s">
        <v>385</v>
      </c>
      <c r="I788" s="3" t="str">
        <f t="shared" si="12"/>
        <v>May</v>
      </c>
    </row>
    <row r="789" spans="1:9" x14ac:dyDescent="0.25">
      <c r="A789">
        <v>10583</v>
      </c>
      <c r="B789" t="s">
        <v>286</v>
      </c>
      <c r="C789" s="6">
        <v>42916</v>
      </c>
      <c r="D789" s="6">
        <v>42944</v>
      </c>
      <c r="E789" s="6">
        <v>42920</v>
      </c>
      <c r="F789" s="3" t="s">
        <v>645</v>
      </c>
      <c r="G789" s="11">
        <v>36.4</v>
      </c>
      <c r="H789" s="3" t="s">
        <v>385</v>
      </c>
      <c r="I789" s="3" t="str">
        <f t="shared" si="12"/>
        <v>Jun</v>
      </c>
    </row>
    <row r="790" spans="1:9" x14ac:dyDescent="0.25">
      <c r="A790">
        <v>10636</v>
      </c>
      <c r="B790" t="s">
        <v>286</v>
      </c>
      <c r="C790" s="6">
        <v>42966</v>
      </c>
      <c r="D790" s="6">
        <v>42994</v>
      </c>
      <c r="E790" s="6">
        <v>42973</v>
      </c>
      <c r="F790" s="3" t="s">
        <v>644</v>
      </c>
      <c r="G790" s="11">
        <v>5.75</v>
      </c>
      <c r="H790" s="3" t="s">
        <v>385</v>
      </c>
      <c r="I790" s="3" t="str">
        <f t="shared" si="12"/>
        <v>Aug</v>
      </c>
    </row>
    <row r="791" spans="1:9" x14ac:dyDescent="0.25">
      <c r="A791">
        <v>10750</v>
      </c>
      <c r="B791" t="s">
        <v>286</v>
      </c>
      <c r="C791" s="6">
        <v>43060</v>
      </c>
      <c r="D791" s="6">
        <v>43088</v>
      </c>
      <c r="E791" s="6">
        <v>43063</v>
      </c>
      <c r="F791" s="3" t="s">
        <v>644</v>
      </c>
      <c r="G791" s="11">
        <v>396.5</v>
      </c>
      <c r="H791" s="3" t="s">
        <v>385</v>
      </c>
      <c r="I791" s="3" t="str">
        <f t="shared" si="12"/>
        <v>Nov</v>
      </c>
    </row>
    <row r="792" spans="1:9" x14ac:dyDescent="0.25">
      <c r="A792">
        <v>10781</v>
      </c>
      <c r="B792" t="s">
        <v>286</v>
      </c>
      <c r="C792" s="6">
        <v>43086</v>
      </c>
      <c r="D792" s="6">
        <v>43114</v>
      </c>
      <c r="E792" s="6">
        <v>43088</v>
      </c>
      <c r="F792" s="3" t="s">
        <v>646</v>
      </c>
      <c r="G792" s="11">
        <v>365.79999999999995</v>
      </c>
      <c r="H792" s="3" t="s">
        <v>385</v>
      </c>
      <c r="I792" s="3" t="str">
        <f t="shared" si="12"/>
        <v>Dec</v>
      </c>
    </row>
    <row r="793" spans="1:9" x14ac:dyDescent="0.25">
      <c r="A793">
        <v>11025</v>
      </c>
      <c r="B793" t="s">
        <v>286</v>
      </c>
      <c r="C793" s="6">
        <v>43205</v>
      </c>
      <c r="D793" s="6">
        <v>43233</v>
      </c>
      <c r="E793" s="6">
        <v>43214</v>
      </c>
      <c r="F793" s="3" t="s">
        <v>646</v>
      </c>
      <c r="G793" s="11">
        <v>145.85000000000002</v>
      </c>
      <c r="H793" s="3" t="s">
        <v>385</v>
      </c>
      <c r="I793" s="3" t="str">
        <f t="shared" si="12"/>
        <v>Apr</v>
      </c>
    </row>
    <row r="794" spans="1:9" x14ac:dyDescent="0.25">
      <c r="A794">
        <v>10256</v>
      </c>
      <c r="B794" t="s">
        <v>288</v>
      </c>
      <c r="C794" s="6">
        <v>42566</v>
      </c>
      <c r="D794" s="6">
        <v>42594</v>
      </c>
      <c r="E794" s="6">
        <v>42568</v>
      </c>
      <c r="F794" s="3" t="s">
        <v>645</v>
      </c>
      <c r="G794" s="11">
        <v>69.850000000000009</v>
      </c>
      <c r="H794" s="3" t="s">
        <v>386</v>
      </c>
      <c r="I794" s="3" t="str">
        <f t="shared" si="12"/>
        <v>Jul</v>
      </c>
    </row>
    <row r="795" spans="1:9" x14ac:dyDescent="0.25">
      <c r="A795">
        <v>10420</v>
      </c>
      <c r="B795" t="s">
        <v>288</v>
      </c>
      <c r="C795" s="6">
        <v>42756</v>
      </c>
      <c r="D795" s="6">
        <v>42784</v>
      </c>
      <c r="E795" s="6">
        <v>42762</v>
      </c>
      <c r="F795" s="3" t="s">
        <v>644</v>
      </c>
      <c r="G795" s="11">
        <v>220.6</v>
      </c>
      <c r="H795" s="3" t="s">
        <v>386</v>
      </c>
      <c r="I795" s="3" t="str">
        <f t="shared" si="12"/>
        <v>Jan</v>
      </c>
    </row>
    <row r="796" spans="1:9" x14ac:dyDescent="0.25">
      <c r="A796">
        <v>10585</v>
      </c>
      <c r="B796" t="s">
        <v>288</v>
      </c>
      <c r="C796" s="6">
        <v>42917</v>
      </c>
      <c r="D796" s="6">
        <v>42945</v>
      </c>
      <c r="E796" s="6">
        <v>42926</v>
      </c>
      <c r="F796" s="3" t="s">
        <v>644</v>
      </c>
      <c r="G796" s="11">
        <v>67.05</v>
      </c>
      <c r="H796" s="3" t="s">
        <v>386</v>
      </c>
      <c r="I796" s="3" t="str">
        <f t="shared" si="12"/>
        <v>Jul</v>
      </c>
    </row>
    <row r="797" spans="1:9" x14ac:dyDescent="0.25">
      <c r="A797">
        <v>10644</v>
      </c>
      <c r="B797" t="s">
        <v>288</v>
      </c>
      <c r="C797" s="6">
        <v>42972</v>
      </c>
      <c r="D797" s="6">
        <v>43000</v>
      </c>
      <c r="E797" s="6">
        <v>42979</v>
      </c>
      <c r="F797" s="3" t="s">
        <v>645</v>
      </c>
      <c r="G797" s="11">
        <v>0.70000000000000007</v>
      </c>
      <c r="H797" s="3" t="s">
        <v>386</v>
      </c>
      <c r="I797" s="3" t="str">
        <f t="shared" si="12"/>
        <v>Aug</v>
      </c>
    </row>
    <row r="798" spans="1:9" x14ac:dyDescent="0.25">
      <c r="A798">
        <v>10803</v>
      </c>
      <c r="B798" t="s">
        <v>288</v>
      </c>
      <c r="C798" s="6">
        <v>43099</v>
      </c>
      <c r="D798" s="6">
        <v>43127</v>
      </c>
      <c r="E798" s="6">
        <v>43106</v>
      </c>
      <c r="F798" s="3" t="s">
        <v>644</v>
      </c>
      <c r="G798" s="11">
        <v>276.14999999999998</v>
      </c>
      <c r="H798" s="3" t="s">
        <v>386</v>
      </c>
      <c r="I798" s="3" t="str">
        <f t="shared" si="12"/>
        <v>Dec</v>
      </c>
    </row>
    <row r="799" spans="1:9" x14ac:dyDescent="0.25">
      <c r="A799">
        <v>10809</v>
      </c>
      <c r="B799" t="s">
        <v>288</v>
      </c>
      <c r="C799" s="6">
        <v>43101</v>
      </c>
      <c r="D799" s="6">
        <v>43129</v>
      </c>
      <c r="E799" s="6">
        <v>43107</v>
      </c>
      <c r="F799" s="3" t="s">
        <v>644</v>
      </c>
      <c r="G799" s="11">
        <v>24.35</v>
      </c>
      <c r="H799" s="3" t="s">
        <v>386</v>
      </c>
      <c r="I799" s="3" t="str">
        <f t="shared" si="12"/>
        <v>Jan</v>
      </c>
    </row>
    <row r="800" spans="1:9" x14ac:dyDescent="0.25">
      <c r="A800">
        <v>10900</v>
      </c>
      <c r="B800" t="s">
        <v>288</v>
      </c>
      <c r="C800" s="6">
        <v>43151</v>
      </c>
      <c r="D800" s="6">
        <v>43179</v>
      </c>
      <c r="E800" s="6">
        <v>43163</v>
      </c>
      <c r="F800" s="3" t="s">
        <v>645</v>
      </c>
      <c r="G800" s="11">
        <v>8.2999999999999989</v>
      </c>
      <c r="H800" s="3" t="s">
        <v>386</v>
      </c>
      <c r="I800" s="3" t="str">
        <f t="shared" si="12"/>
        <v>Feb</v>
      </c>
    </row>
    <row r="801" spans="1:9" x14ac:dyDescent="0.25">
      <c r="A801">
        <v>10905</v>
      </c>
      <c r="B801" t="s">
        <v>288</v>
      </c>
      <c r="C801" s="6">
        <v>43155</v>
      </c>
      <c r="D801" s="6">
        <v>43183</v>
      </c>
      <c r="E801" s="6">
        <v>43165</v>
      </c>
      <c r="F801" s="3" t="s">
        <v>645</v>
      </c>
      <c r="G801" s="11">
        <v>68.600000000000009</v>
      </c>
      <c r="H801" s="3" t="s">
        <v>386</v>
      </c>
      <c r="I801" s="3" t="str">
        <f t="shared" si="12"/>
        <v>Feb</v>
      </c>
    </row>
    <row r="802" spans="1:9" x14ac:dyDescent="0.25">
      <c r="A802">
        <v>10935</v>
      </c>
      <c r="B802" t="s">
        <v>288</v>
      </c>
      <c r="C802" s="6">
        <v>43168</v>
      </c>
      <c r="D802" s="6">
        <v>43196</v>
      </c>
      <c r="E802" s="6">
        <v>43177</v>
      </c>
      <c r="F802" s="3" t="s">
        <v>646</v>
      </c>
      <c r="G802" s="11">
        <v>237.95000000000002</v>
      </c>
      <c r="H802" s="3" t="s">
        <v>386</v>
      </c>
      <c r="I802" s="3" t="str">
        <f t="shared" si="12"/>
        <v>Mar</v>
      </c>
    </row>
    <row r="803" spans="1:9" x14ac:dyDescent="0.25">
      <c r="A803">
        <v>10269</v>
      </c>
      <c r="B803" t="s">
        <v>290</v>
      </c>
      <c r="C803" s="6">
        <v>42582</v>
      </c>
      <c r="D803" s="6">
        <v>42596</v>
      </c>
      <c r="E803" s="6">
        <v>42591</v>
      </c>
      <c r="F803" s="3" t="s">
        <v>644</v>
      </c>
      <c r="G803" s="11">
        <v>22.799999999999997</v>
      </c>
      <c r="H803" s="3" t="s">
        <v>1</v>
      </c>
      <c r="I803" s="3" t="str">
        <f t="shared" si="12"/>
        <v>Jul</v>
      </c>
    </row>
    <row r="804" spans="1:9" x14ac:dyDescent="0.25">
      <c r="A804">
        <v>10344</v>
      </c>
      <c r="B804" t="s">
        <v>290</v>
      </c>
      <c r="C804" s="6">
        <v>42675</v>
      </c>
      <c r="D804" s="6">
        <v>42703</v>
      </c>
      <c r="E804" s="6">
        <v>42679</v>
      </c>
      <c r="F804" s="3" t="s">
        <v>645</v>
      </c>
      <c r="G804" s="11">
        <v>116.44999999999999</v>
      </c>
      <c r="H804" s="3" t="s">
        <v>1</v>
      </c>
      <c r="I804" s="3" t="str">
        <f t="shared" si="12"/>
        <v>Nov</v>
      </c>
    </row>
    <row r="805" spans="1:9" x14ac:dyDescent="0.25">
      <c r="A805">
        <v>10469</v>
      </c>
      <c r="B805" t="s">
        <v>290</v>
      </c>
      <c r="C805" s="6">
        <v>42804</v>
      </c>
      <c r="D805" s="6">
        <v>42832</v>
      </c>
      <c r="E805" s="6">
        <v>42808</v>
      </c>
      <c r="F805" s="3" t="s">
        <v>644</v>
      </c>
      <c r="G805" s="11">
        <v>300.89999999999998</v>
      </c>
      <c r="H805" s="3" t="s">
        <v>1</v>
      </c>
      <c r="I805" s="3" t="str">
        <f t="shared" si="12"/>
        <v>Mar</v>
      </c>
    </row>
    <row r="806" spans="1:9" x14ac:dyDescent="0.25">
      <c r="A806">
        <v>10483</v>
      </c>
      <c r="B806" t="s">
        <v>290</v>
      </c>
      <c r="C806" s="6">
        <v>42818</v>
      </c>
      <c r="D806" s="6">
        <v>42846</v>
      </c>
      <c r="E806" s="6">
        <v>42850</v>
      </c>
      <c r="F806" s="3" t="s">
        <v>645</v>
      </c>
      <c r="G806" s="11">
        <v>76.399999999999991</v>
      </c>
      <c r="H806" s="3" t="s">
        <v>1</v>
      </c>
      <c r="I806" s="3" t="str">
        <f t="shared" si="12"/>
        <v>Mar</v>
      </c>
    </row>
    <row r="807" spans="1:9" x14ac:dyDescent="0.25">
      <c r="A807">
        <v>10504</v>
      </c>
      <c r="B807" t="s">
        <v>290</v>
      </c>
      <c r="C807" s="6">
        <v>42836</v>
      </c>
      <c r="D807" s="6">
        <v>42864</v>
      </c>
      <c r="E807" s="6">
        <v>42843</v>
      </c>
      <c r="F807" s="3" t="s">
        <v>646</v>
      </c>
      <c r="G807" s="11">
        <v>295.65000000000003</v>
      </c>
      <c r="H807" s="3" t="s">
        <v>1</v>
      </c>
      <c r="I807" s="3" t="str">
        <f t="shared" si="12"/>
        <v>Apr</v>
      </c>
    </row>
    <row r="808" spans="1:9" x14ac:dyDescent="0.25">
      <c r="A808">
        <v>10596</v>
      </c>
      <c r="B808" t="s">
        <v>290</v>
      </c>
      <c r="C808" s="6">
        <v>42927</v>
      </c>
      <c r="D808" s="6">
        <v>42955</v>
      </c>
      <c r="E808" s="6">
        <v>42959</v>
      </c>
      <c r="F808" s="3" t="s">
        <v>644</v>
      </c>
      <c r="G808" s="11">
        <v>81.7</v>
      </c>
      <c r="H808" s="3" t="s">
        <v>1</v>
      </c>
      <c r="I808" s="3" t="str">
        <f t="shared" si="12"/>
        <v>Jul</v>
      </c>
    </row>
    <row r="809" spans="1:9" x14ac:dyDescent="0.25">
      <c r="A809">
        <v>10693</v>
      </c>
      <c r="B809" t="s">
        <v>290</v>
      </c>
      <c r="C809" s="6">
        <v>43014</v>
      </c>
      <c r="D809" s="6">
        <v>43028</v>
      </c>
      <c r="E809" s="6">
        <v>43018</v>
      </c>
      <c r="F809" s="3" t="s">
        <v>646</v>
      </c>
      <c r="G809" s="11">
        <v>696.7</v>
      </c>
      <c r="H809" s="3" t="s">
        <v>1</v>
      </c>
      <c r="I809" s="3" t="str">
        <f t="shared" si="12"/>
        <v>Oct</v>
      </c>
    </row>
    <row r="810" spans="1:9" x14ac:dyDescent="0.25">
      <c r="A810">
        <v>10696</v>
      </c>
      <c r="B810" t="s">
        <v>290</v>
      </c>
      <c r="C810" s="6">
        <v>43016</v>
      </c>
      <c r="D810" s="6">
        <v>43058</v>
      </c>
      <c r="E810" s="6">
        <v>43022</v>
      </c>
      <c r="F810" s="3" t="s">
        <v>646</v>
      </c>
      <c r="G810" s="11">
        <v>512.75</v>
      </c>
      <c r="H810" s="3" t="s">
        <v>1</v>
      </c>
      <c r="I810" s="3" t="str">
        <f t="shared" si="12"/>
        <v>Oct</v>
      </c>
    </row>
    <row r="811" spans="1:9" x14ac:dyDescent="0.25">
      <c r="A811">
        <v>10723</v>
      </c>
      <c r="B811" t="s">
        <v>290</v>
      </c>
      <c r="C811" s="6">
        <v>43038</v>
      </c>
      <c r="D811" s="6">
        <v>43066</v>
      </c>
      <c r="E811" s="6">
        <v>43064</v>
      </c>
      <c r="F811" s="3" t="s">
        <v>644</v>
      </c>
      <c r="G811" s="11">
        <v>108.6</v>
      </c>
      <c r="H811" s="3" t="s">
        <v>1</v>
      </c>
      <c r="I811" s="3" t="str">
        <f t="shared" si="12"/>
        <v>Oct</v>
      </c>
    </row>
    <row r="812" spans="1:9" x14ac:dyDescent="0.25">
      <c r="A812">
        <v>10740</v>
      </c>
      <c r="B812" t="s">
        <v>290</v>
      </c>
      <c r="C812" s="6">
        <v>43052</v>
      </c>
      <c r="D812" s="6">
        <v>43080</v>
      </c>
      <c r="E812" s="6">
        <v>43064</v>
      </c>
      <c r="F812" s="3" t="s">
        <v>645</v>
      </c>
      <c r="G812" s="11">
        <v>409.4</v>
      </c>
      <c r="H812" s="3" t="s">
        <v>1</v>
      </c>
      <c r="I812" s="3" t="str">
        <f t="shared" si="12"/>
        <v>Nov</v>
      </c>
    </row>
    <row r="813" spans="1:9" x14ac:dyDescent="0.25">
      <c r="A813">
        <v>10861</v>
      </c>
      <c r="B813" t="s">
        <v>290</v>
      </c>
      <c r="C813" s="6">
        <v>43130</v>
      </c>
      <c r="D813" s="6">
        <v>43158</v>
      </c>
      <c r="E813" s="6">
        <v>43148</v>
      </c>
      <c r="F813" s="3" t="s">
        <v>645</v>
      </c>
      <c r="G813" s="11">
        <v>74.650000000000006</v>
      </c>
      <c r="H813" s="3" t="s">
        <v>1</v>
      </c>
      <c r="I813" s="3" t="str">
        <f t="shared" si="12"/>
        <v>Jan</v>
      </c>
    </row>
    <row r="814" spans="1:9" x14ac:dyDescent="0.25">
      <c r="A814">
        <v>10904</v>
      </c>
      <c r="B814" t="s">
        <v>290</v>
      </c>
      <c r="C814" s="6">
        <v>43155</v>
      </c>
      <c r="D814" s="6">
        <v>43183</v>
      </c>
      <c r="E814" s="6">
        <v>43158</v>
      </c>
      <c r="F814" s="3" t="s">
        <v>646</v>
      </c>
      <c r="G814" s="11">
        <v>814.75</v>
      </c>
      <c r="H814" s="3" t="s">
        <v>1</v>
      </c>
      <c r="I814" s="3" t="str">
        <f t="shared" si="12"/>
        <v>Feb</v>
      </c>
    </row>
    <row r="815" spans="1:9" x14ac:dyDescent="0.25">
      <c r="A815">
        <v>11032</v>
      </c>
      <c r="B815" t="s">
        <v>290</v>
      </c>
      <c r="C815" s="6">
        <v>43207</v>
      </c>
      <c r="D815" s="6">
        <v>43235</v>
      </c>
      <c r="E815" s="6">
        <v>43213</v>
      </c>
      <c r="F815" s="3" t="s">
        <v>646</v>
      </c>
      <c r="G815" s="11">
        <v>3030.9500000000003</v>
      </c>
      <c r="H815" s="3" t="s">
        <v>1</v>
      </c>
      <c r="I815" s="3" t="str">
        <f t="shared" si="12"/>
        <v>Apr</v>
      </c>
    </row>
    <row r="816" spans="1:9" x14ac:dyDescent="0.25">
      <c r="A816">
        <v>11066</v>
      </c>
      <c r="B816" t="s">
        <v>290</v>
      </c>
      <c r="C816" s="6">
        <v>43221</v>
      </c>
      <c r="D816" s="6">
        <v>43249</v>
      </c>
      <c r="E816" s="6">
        <v>43224</v>
      </c>
      <c r="F816" s="3" t="s">
        <v>645</v>
      </c>
      <c r="G816" s="11">
        <v>223.6</v>
      </c>
      <c r="H816" s="3" t="s">
        <v>1</v>
      </c>
      <c r="I816" s="3" t="str">
        <f t="shared" si="12"/>
        <v>May</v>
      </c>
    </row>
    <row r="817" spans="1:9" x14ac:dyDescent="0.25">
      <c r="A817">
        <v>10248</v>
      </c>
      <c r="B817" t="s">
        <v>293</v>
      </c>
      <c r="C817" s="6">
        <v>42555</v>
      </c>
      <c r="D817" s="6">
        <v>42583</v>
      </c>
      <c r="E817" s="6">
        <v>42567</v>
      </c>
      <c r="F817" s="3" t="s">
        <v>646</v>
      </c>
      <c r="G817" s="11">
        <v>161.9</v>
      </c>
      <c r="H817" s="3" t="s">
        <v>0</v>
      </c>
      <c r="I817" s="3" t="str">
        <f t="shared" si="12"/>
        <v>Jul</v>
      </c>
    </row>
    <row r="818" spans="1:9" x14ac:dyDescent="0.25">
      <c r="A818">
        <v>10615</v>
      </c>
      <c r="B818" t="s">
        <v>293</v>
      </c>
      <c r="C818" s="6">
        <v>42946</v>
      </c>
      <c r="D818" s="6">
        <v>42974</v>
      </c>
      <c r="E818" s="6">
        <v>42953</v>
      </c>
      <c r="F818" s="3" t="s">
        <v>646</v>
      </c>
      <c r="G818" s="11">
        <v>3.75</v>
      </c>
      <c r="H818" s="3" t="s">
        <v>0</v>
      </c>
      <c r="I818" s="3" t="str">
        <f t="shared" si="12"/>
        <v>Jul</v>
      </c>
    </row>
    <row r="819" spans="1:9" x14ac:dyDescent="0.25">
      <c r="A819">
        <v>10673</v>
      </c>
      <c r="B819" t="s">
        <v>293</v>
      </c>
      <c r="C819" s="6">
        <v>42996</v>
      </c>
      <c r="D819" s="6">
        <v>43024</v>
      </c>
      <c r="E819" s="6">
        <v>42997</v>
      </c>
      <c r="F819" s="3" t="s">
        <v>644</v>
      </c>
      <c r="G819" s="11">
        <v>113.80000000000001</v>
      </c>
      <c r="H819" s="3" t="s">
        <v>0</v>
      </c>
      <c r="I819" s="3" t="str">
        <f t="shared" si="12"/>
        <v>Sep</v>
      </c>
    </row>
    <row r="820" spans="1:9" x14ac:dyDescent="0.25">
      <c r="A820">
        <v>10695</v>
      </c>
      <c r="B820" t="s">
        <v>293</v>
      </c>
      <c r="C820" s="6">
        <v>43015</v>
      </c>
      <c r="D820" s="6">
        <v>43057</v>
      </c>
      <c r="E820" s="6">
        <v>43022</v>
      </c>
      <c r="F820" s="3" t="s">
        <v>644</v>
      </c>
      <c r="G820" s="11">
        <v>83.6</v>
      </c>
      <c r="H820" s="3" t="s">
        <v>0</v>
      </c>
      <c r="I820" s="3" t="str">
        <f t="shared" si="12"/>
        <v>Oct</v>
      </c>
    </row>
    <row r="821" spans="1:9" x14ac:dyDescent="0.25">
      <c r="A821">
        <v>10873</v>
      </c>
      <c r="B821" t="s">
        <v>293</v>
      </c>
      <c r="C821" s="6">
        <v>43137</v>
      </c>
      <c r="D821" s="6">
        <v>43165</v>
      </c>
      <c r="E821" s="6">
        <v>43140</v>
      </c>
      <c r="F821" s="3" t="s">
        <v>644</v>
      </c>
      <c r="G821" s="11">
        <v>4.0999999999999996</v>
      </c>
      <c r="H821" s="3" t="s">
        <v>0</v>
      </c>
      <c r="I821" s="3" t="str">
        <f t="shared" si="12"/>
        <v>Feb</v>
      </c>
    </row>
    <row r="822" spans="1:9" x14ac:dyDescent="0.25">
      <c r="A822">
        <v>10879</v>
      </c>
      <c r="B822" t="s">
        <v>293</v>
      </c>
      <c r="C822" s="6">
        <v>43141</v>
      </c>
      <c r="D822" s="6">
        <v>43169</v>
      </c>
      <c r="E822" s="6">
        <v>43143</v>
      </c>
      <c r="F822" s="3" t="s">
        <v>646</v>
      </c>
      <c r="G822" s="11">
        <v>42.5</v>
      </c>
      <c r="H822" s="3" t="s">
        <v>0</v>
      </c>
      <c r="I822" s="3" t="str">
        <f t="shared" si="12"/>
        <v>Feb</v>
      </c>
    </row>
    <row r="823" spans="1:9" x14ac:dyDescent="0.25">
      <c r="A823">
        <v>10910</v>
      </c>
      <c r="B823" t="s">
        <v>293</v>
      </c>
      <c r="C823" s="6">
        <v>43157</v>
      </c>
      <c r="D823" s="6">
        <v>43185</v>
      </c>
      <c r="E823" s="6">
        <v>43163</v>
      </c>
      <c r="F823" s="3" t="s">
        <v>646</v>
      </c>
      <c r="G823" s="11">
        <v>190.55</v>
      </c>
      <c r="H823" s="3" t="s">
        <v>0</v>
      </c>
      <c r="I823" s="3" t="str">
        <f t="shared" si="12"/>
        <v>Feb</v>
      </c>
    </row>
    <row r="824" spans="1:9" x14ac:dyDescent="0.25">
      <c r="A824">
        <v>11005</v>
      </c>
      <c r="B824" t="s">
        <v>293</v>
      </c>
      <c r="C824" s="6">
        <v>43197</v>
      </c>
      <c r="D824" s="6">
        <v>43225</v>
      </c>
      <c r="E824" s="6">
        <v>43200</v>
      </c>
      <c r="F824" s="3" t="s">
        <v>644</v>
      </c>
      <c r="G824" s="11">
        <v>3.75</v>
      </c>
      <c r="H824" s="3" t="s">
        <v>0</v>
      </c>
      <c r="I824" s="3" t="str">
        <f t="shared" si="12"/>
        <v>Apr</v>
      </c>
    </row>
    <row r="825" spans="1:9" x14ac:dyDescent="0.25">
      <c r="A825">
        <v>10374</v>
      </c>
      <c r="B825" t="s">
        <v>296</v>
      </c>
      <c r="C825" s="6">
        <v>42709</v>
      </c>
      <c r="D825" s="6">
        <v>42737</v>
      </c>
      <c r="E825" s="6">
        <v>42713</v>
      </c>
      <c r="F825" s="3" t="s">
        <v>646</v>
      </c>
      <c r="G825" s="11">
        <v>19.7</v>
      </c>
      <c r="H825" s="3" t="s">
        <v>387</v>
      </c>
      <c r="I825" s="3" t="str">
        <f t="shared" si="12"/>
        <v>Dec</v>
      </c>
    </row>
    <row r="826" spans="1:9" x14ac:dyDescent="0.25">
      <c r="A826">
        <v>10611</v>
      </c>
      <c r="B826" t="s">
        <v>296</v>
      </c>
      <c r="C826" s="6">
        <v>42941</v>
      </c>
      <c r="D826" s="6">
        <v>42969</v>
      </c>
      <c r="E826" s="6">
        <v>42948</v>
      </c>
      <c r="F826" s="3" t="s">
        <v>645</v>
      </c>
      <c r="G826" s="11">
        <v>403.25</v>
      </c>
      <c r="H826" s="3" t="s">
        <v>387</v>
      </c>
      <c r="I826" s="3" t="str">
        <f t="shared" si="12"/>
        <v>Jul</v>
      </c>
    </row>
    <row r="827" spans="1:9" x14ac:dyDescent="0.25">
      <c r="A827">
        <v>10792</v>
      </c>
      <c r="B827" t="s">
        <v>296</v>
      </c>
      <c r="C827" s="6">
        <v>43092</v>
      </c>
      <c r="D827" s="6">
        <v>43120</v>
      </c>
      <c r="E827" s="6">
        <v>43100</v>
      </c>
      <c r="F827" s="3" t="s">
        <v>646</v>
      </c>
      <c r="G827" s="11">
        <v>118.94999999999999</v>
      </c>
      <c r="H827" s="3" t="s">
        <v>387</v>
      </c>
      <c r="I827" s="3" t="str">
        <f t="shared" si="12"/>
        <v>Dec</v>
      </c>
    </row>
    <row r="828" spans="1:9" x14ac:dyDescent="0.25">
      <c r="A828">
        <v>10870</v>
      </c>
      <c r="B828" t="s">
        <v>296</v>
      </c>
      <c r="C828" s="6">
        <v>43135</v>
      </c>
      <c r="D828" s="6">
        <v>43163</v>
      </c>
      <c r="E828" s="6">
        <v>43144</v>
      </c>
      <c r="F828" s="3" t="s">
        <v>646</v>
      </c>
      <c r="G828" s="11">
        <v>60.199999999999996</v>
      </c>
      <c r="H828" s="3" t="s">
        <v>387</v>
      </c>
      <c r="I828" s="3" t="str">
        <f t="shared" si="12"/>
        <v>Feb</v>
      </c>
    </row>
    <row r="829" spans="1:9" x14ac:dyDescent="0.25">
      <c r="A829">
        <v>10906</v>
      </c>
      <c r="B829" t="s">
        <v>296</v>
      </c>
      <c r="C829" s="6">
        <v>43156</v>
      </c>
      <c r="D829" s="6">
        <v>43170</v>
      </c>
      <c r="E829" s="6">
        <v>43162</v>
      </c>
      <c r="F829" s="3" t="s">
        <v>646</v>
      </c>
      <c r="G829" s="11">
        <v>131.44999999999999</v>
      </c>
      <c r="H829" s="3" t="s">
        <v>387</v>
      </c>
      <c r="I829" s="3" t="str">
        <f t="shared" si="12"/>
        <v>Feb</v>
      </c>
    </row>
    <row r="830" spans="1:9" x14ac:dyDescent="0.25">
      <c r="A830">
        <v>10998</v>
      </c>
      <c r="B830" t="s">
        <v>296</v>
      </c>
      <c r="C830" s="6">
        <v>43193</v>
      </c>
      <c r="D830" s="6">
        <v>43207</v>
      </c>
      <c r="E830" s="6">
        <v>43207</v>
      </c>
      <c r="F830" s="3" t="s">
        <v>645</v>
      </c>
      <c r="G830" s="11">
        <v>101.55</v>
      </c>
      <c r="H830" s="3" t="s">
        <v>387</v>
      </c>
      <c r="I830" s="3" t="str">
        <f t="shared" si="12"/>
        <v>Apr</v>
      </c>
    </row>
    <row r="831" spans="1:9" x14ac:dyDescent="0.25">
      <c r="A831">
        <v>11044</v>
      </c>
      <c r="B831" t="s">
        <v>296</v>
      </c>
      <c r="C831" s="6">
        <v>43213</v>
      </c>
      <c r="D831" s="6">
        <v>43241</v>
      </c>
      <c r="E831" s="6">
        <v>43221</v>
      </c>
      <c r="F831" s="3" t="s">
        <v>644</v>
      </c>
      <c r="G831" s="11">
        <v>43.6</v>
      </c>
      <c r="H831" s="3" t="s">
        <v>387</v>
      </c>
      <c r="I831" s="3" t="str">
        <f t="shared" si="12"/>
        <v>Apr</v>
      </c>
    </row>
    <row r="832" spans="1:9" x14ac:dyDescent="0.25">
      <c r="F832" s="3" t="e">
        <v>#VALUE!</v>
      </c>
      <c r="G832" s="11">
        <v>0</v>
      </c>
      <c r="I832" s="3" t="str">
        <f t="shared" si="12"/>
        <v>Jan</v>
      </c>
    </row>
  </sheetData>
  <phoneticPr fontId="4"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E1FA1-FB6D-455E-A860-52375563E97B}">
  <sheetPr codeName="Sheet5"/>
  <dimension ref="A1:B7"/>
  <sheetViews>
    <sheetView workbookViewId="0">
      <selection activeCell="N12" sqref="N12"/>
    </sheetView>
  </sheetViews>
  <sheetFormatPr defaultRowHeight="15" x14ac:dyDescent="0.25"/>
  <cols>
    <col min="1" max="1" width="15.140625" bestFit="1" customWidth="1"/>
    <col min="2" max="2" width="20.140625" bestFit="1" customWidth="1"/>
  </cols>
  <sheetData>
    <row r="1" spans="1:2" x14ac:dyDescent="0.25">
      <c r="A1" s="8" t="s">
        <v>303</v>
      </c>
      <c r="B1" t="s">
        <v>317</v>
      </c>
    </row>
    <row r="3" spans="1:2" x14ac:dyDescent="0.25">
      <c r="A3" s="8" t="s">
        <v>649</v>
      </c>
      <c r="B3" s="10" t="s">
        <v>651</v>
      </c>
    </row>
    <row r="4" spans="1:2" x14ac:dyDescent="0.25">
      <c r="A4" s="9" t="s">
        <v>652</v>
      </c>
      <c r="B4" s="10">
        <v>110</v>
      </c>
    </row>
    <row r="5" spans="1:2" x14ac:dyDescent="0.25">
      <c r="A5" s="9" t="s">
        <v>653</v>
      </c>
      <c r="B5" s="10">
        <v>940.45</v>
      </c>
    </row>
    <row r="6" spans="1:2" x14ac:dyDescent="0.25">
      <c r="A6" s="9" t="s">
        <v>654</v>
      </c>
      <c r="B6" s="10">
        <v>292.14999999999998</v>
      </c>
    </row>
    <row r="7" spans="1:2" x14ac:dyDescent="0.25">
      <c r="A7" s="9" t="s">
        <v>650</v>
      </c>
      <c r="B7" s="10">
        <v>1342.6</v>
      </c>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pageSetUpPr autoPageBreaks="0"/>
  </sheetPr>
  <dimension ref="B1:S845"/>
  <sheetViews>
    <sheetView showGridLines="0" showRowColHeaders="0" tabSelected="1" zoomScale="110" zoomScaleNormal="110" zoomScaleSheetLayoutView="90" workbookViewId="0">
      <selection activeCell="K30" sqref="K30"/>
    </sheetView>
  </sheetViews>
  <sheetFormatPr defaultRowHeight="15" x14ac:dyDescent="0.25"/>
  <cols>
    <col min="1" max="1" width="3" style="12" customWidth="1"/>
    <col min="2" max="2" width="13.5703125" style="12" bestFit="1" customWidth="1"/>
    <col min="3" max="3" width="13.7109375" style="12" bestFit="1" customWidth="1"/>
    <col min="4" max="4" width="15.7109375" style="12" bestFit="1" customWidth="1"/>
    <col min="5" max="5" width="15.42578125" style="12" customWidth="1"/>
    <col min="6" max="6" width="16" style="12" bestFit="1" customWidth="1"/>
    <col min="7" max="7" width="19" style="12" bestFit="1" customWidth="1"/>
    <col min="8" max="8" width="15.42578125" style="12" customWidth="1"/>
    <col min="9" max="9" width="17.85546875" style="2" hidden="1" customWidth="1"/>
    <col min="10" max="10" width="14.5703125" style="2" hidden="1" customWidth="1"/>
    <col min="11" max="11" width="19" style="12" customWidth="1"/>
    <col min="12" max="12" width="14" style="12" bestFit="1" customWidth="1"/>
    <col min="13" max="13" width="13.7109375" style="12" bestFit="1" customWidth="1"/>
    <col min="14" max="14" width="17.28515625" style="12" bestFit="1" customWidth="1"/>
    <col min="15" max="15" width="14.140625" style="12" bestFit="1" customWidth="1"/>
    <col min="16" max="16" width="11.28515625" style="12" bestFit="1" customWidth="1"/>
    <col min="17" max="17" width="7" style="12" bestFit="1" customWidth="1"/>
    <col min="18" max="18" width="6.85546875" style="12" bestFit="1" customWidth="1"/>
    <col min="19" max="19" width="6.28515625" style="12" bestFit="1" customWidth="1"/>
    <col min="20" max="20" width="6.85546875" style="12" bestFit="1" customWidth="1"/>
    <col min="21" max="21" width="7.5703125" style="12" bestFit="1" customWidth="1"/>
    <col min="22" max="22" width="7.28515625" style="12" bestFit="1" customWidth="1"/>
    <col min="23" max="23" width="6.7109375" style="12" bestFit="1" customWidth="1"/>
    <col min="24" max="24" width="7.140625" style="12" bestFit="1" customWidth="1"/>
    <col min="25" max="25" width="7.42578125" style="12" bestFit="1" customWidth="1"/>
    <col min="26" max="26" width="6.28515625" style="12" bestFit="1" customWidth="1"/>
    <col min="27" max="27" width="7.7109375" style="12" bestFit="1" customWidth="1"/>
    <col min="28" max="28" width="8" style="12" bestFit="1" customWidth="1"/>
    <col min="29" max="29" width="5.7109375" style="12" bestFit="1" customWidth="1"/>
    <col min="30" max="30" width="7" style="12" bestFit="1" customWidth="1"/>
    <col min="31" max="32" width="6.85546875" style="12" bestFit="1" customWidth="1"/>
    <col min="33" max="33" width="7.140625" style="12" bestFit="1" customWidth="1"/>
    <col min="34" max="34" width="6.42578125" style="12" bestFit="1" customWidth="1"/>
    <col min="35" max="35" width="7" style="12" bestFit="1" customWidth="1"/>
    <col min="36" max="36" width="5.85546875" style="12" bestFit="1" customWidth="1"/>
    <col min="37" max="37" width="5.5703125" style="12" bestFit="1" customWidth="1"/>
    <col min="38" max="38" width="6.5703125" style="12" bestFit="1" customWidth="1"/>
    <col min="39" max="39" width="6.85546875" style="12" bestFit="1" customWidth="1"/>
    <col min="40" max="40" width="8.140625" style="12" bestFit="1" customWidth="1"/>
    <col min="41" max="41" width="7" style="12" bestFit="1" customWidth="1"/>
    <col min="42" max="42" width="7.140625" style="12" bestFit="1" customWidth="1"/>
    <col min="43" max="43" width="8" style="12" bestFit="1" customWidth="1"/>
    <col min="44" max="44" width="7" style="12" bestFit="1" customWidth="1"/>
    <col min="45" max="45" width="7.28515625" style="12" bestFit="1" customWidth="1"/>
    <col min="46" max="46" width="8" style="12" bestFit="1" customWidth="1"/>
    <col min="47" max="47" width="6.140625" style="12" bestFit="1" customWidth="1"/>
    <col min="48" max="48" width="6" style="12" bestFit="1" customWidth="1"/>
    <col min="49" max="49" width="6.42578125" style="12" bestFit="1" customWidth="1"/>
    <col min="50" max="50" width="5.85546875" style="12" bestFit="1" customWidth="1"/>
    <col min="51" max="51" width="7.140625" style="12" bestFit="1" customWidth="1"/>
    <col min="52" max="52" width="7.28515625" style="12" bestFit="1" customWidth="1"/>
    <col min="53" max="53" width="6.7109375" style="12" bestFit="1" customWidth="1"/>
    <col min="54" max="54" width="7.28515625" style="12" bestFit="1" customWidth="1"/>
    <col min="55" max="55" width="6.5703125" style="12" bestFit="1" customWidth="1"/>
    <col min="56" max="56" width="7.140625" style="12" bestFit="1" customWidth="1"/>
    <col min="57" max="58" width="6.28515625" style="12" bestFit="1" customWidth="1"/>
    <col min="59" max="59" width="7.5703125" style="12" bestFit="1" customWidth="1"/>
    <col min="60" max="60" width="7.140625" style="12" bestFit="1" customWidth="1"/>
    <col min="61" max="61" width="6.85546875" style="12" bestFit="1" customWidth="1"/>
    <col min="62" max="62" width="6.28515625" style="12" bestFit="1" customWidth="1"/>
    <col min="63" max="63" width="7" style="12" bestFit="1" customWidth="1"/>
    <col min="64" max="64" width="6.5703125" style="12" bestFit="1" customWidth="1"/>
    <col min="65" max="65" width="5.7109375" style="12" bestFit="1" customWidth="1"/>
    <col min="66" max="66" width="7" style="12" bestFit="1" customWidth="1"/>
    <col min="67" max="67" width="6" style="12" bestFit="1" customWidth="1"/>
    <col min="68" max="68" width="6.5703125" style="12" bestFit="1" customWidth="1"/>
    <col min="69" max="69" width="7.42578125" style="12" bestFit="1" customWidth="1"/>
    <col min="70" max="71" width="7" style="12" bestFit="1" customWidth="1"/>
    <col min="72" max="72" width="6.28515625" style="12" bestFit="1" customWidth="1"/>
    <col min="73" max="73" width="6.5703125" style="12" bestFit="1" customWidth="1"/>
    <col min="74" max="74" width="6" style="12" bestFit="1" customWidth="1"/>
    <col min="75" max="75" width="6.28515625" style="12" bestFit="1" customWidth="1"/>
    <col min="76" max="76" width="8.140625" style="12" bestFit="1" customWidth="1"/>
    <col min="77" max="77" width="7.7109375" style="12" bestFit="1" customWidth="1"/>
    <col min="78" max="78" width="6.28515625" style="12" bestFit="1" customWidth="1"/>
    <col min="79" max="79" width="7" style="12" bestFit="1" customWidth="1"/>
    <col min="80" max="80" width="7.42578125" style="12" bestFit="1" customWidth="1"/>
    <col min="81" max="81" width="7.5703125" style="12" bestFit="1" customWidth="1"/>
    <col min="82" max="82" width="11.28515625" style="12" bestFit="1" customWidth="1"/>
    <col min="83" max="16384" width="9.140625" style="12"/>
  </cols>
  <sheetData>
    <row r="1" spans="2:19" ht="15.75" thickBot="1" x14ac:dyDescent="0.3">
      <c r="B1" s="13" t="str">
        <f>'Customer Dashboard'!$B$3:$E$3 &amp; " Yearly Orders"</f>
        <v>Antara Torches Yearly Orders</v>
      </c>
      <c r="H1" s="14"/>
    </row>
    <row r="2" spans="2:19" x14ac:dyDescent="0.25">
      <c r="B2" s="30" t="s">
        <v>648</v>
      </c>
      <c r="C2" s="31"/>
      <c r="D2" s="31"/>
      <c r="E2" s="32"/>
    </row>
    <row r="3" spans="2:19" ht="15" customHeight="1" x14ac:dyDescent="0.25">
      <c r="B3" s="33" t="s">
        <v>317</v>
      </c>
      <c r="C3" s="33"/>
      <c r="D3" s="33"/>
      <c r="E3" s="33"/>
      <c r="G3" s="25" t="s">
        <v>25</v>
      </c>
    </row>
    <row r="4" spans="2:19" ht="15" customHeight="1" x14ac:dyDescent="0.25">
      <c r="B4" s="15"/>
      <c r="C4" s="15"/>
      <c r="D4" s="15"/>
      <c r="E4" s="15"/>
      <c r="G4" s="24">
        <f>SUBTOTAL(102,Cutomer_Order_Info[[#All],[OrderID]])</f>
        <v>7</v>
      </c>
    </row>
    <row r="5" spans="2:19" x14ac:dyDescent="0.25">
      <c r="B5" s="25" t="s">
        <v>18</v>
      </c>
      <c r="C5" s="25" t="s">
        <v>19</v>
      </c>
      <c r="D5" s="25" t="s">
        <v>24</v>
      </c>
      <c r="E5" s="25"/>
      <c r="G5" s="25" t="s">
        <v>26</v>
      </c>
    </row>
    <row r="6" spans="2:19" x14ac:dyDescent="0.25">
      <c r="B6" s="26" t="str">
        <f>VLOOKUP(B3,Customer_Info[#All],3,FALSE)</f>
        <v>Vikram Rana</v>
      </c>
      <c r="C6" s="24" t="str">
        <f>VLOOKUP(B3,Customer_Info[#All],10,FALSE)</f>
        <v>(5) 555-3932</v>
      </c>
      <c r="D6" s="24" t="str">
        <f>IF(VLOOKUP(B3,Customer_Info[#All],11,FALSE)=0,"--",VLOOKUP(B3,Customer_Info[#All],11,FALSE))</f>
        <v>--</v>
      </c>
      <c r="E6" s="24"/>
      <c r="G6" s="27">
        <f>SUBTOTAL(101,Cutomer_Order_Info[[#All],[OrderAmount]])</f>
        <v>191.79999999999998</v>
      </c>
      <c r="K6" s="21"/>
      <c r="L6" s="21"/>
      <c r="M6" s="21"/>
    </row>
    <row r="7" spans="2:19" ht="15.75" thickBot="1" x14ac:dyDescent="0.3">
      <c r="B7" s="19"/>
      <c r="C7" s="19"/>
      <c r="D7" s="19"/>
      <c r="E7" s="19"/>
      <c r="G7" s="25" t="s">
        <v>27</v>
      </c>
      <c r="K7" s="22"/>
      <c r="L7" s="22"/>
      <c r="M7" s="22"/>
      <c r="N7" s="22"/>
      <c r="O7" s="22"/>
      <c r="P7" s="22"/>
    </row>
    <row r="8" spans="2:19" ht="15.75" thickBot="1" x14ac:dyDescent="0.3">
      <c r="B8" s="16" t="s">
        <v>20</v>
      </c>
      <c r="C8" s="17"/>
      <c r="D8" s="17"/>
      <c r="E8" s="18"/>
      <c r="G8" s="28">
        <f>SUBTOTAL(104,Cutomer_Order_Info[[#All],[OrderDate]])</f>
        <v>43128</v>
      </c>
      <c r="K8" s="22"/>
      <c r="L8" s="22"/>
      <c r="M8" s="22"/>
      <c r="N8" s="22"/>
      <c r="O8" s="22"/>
      <c r="P8" s="22"/>
    </row>
    <row r="9" spans="2:19" x14ac:dyDescent="0.25">
      <c r="B9" s="34" t="str">
        <f>INDEX('Customer Info'!E2:E92,MATCH(B3,'Customer Info'!A2:A92,FALSE))</f>
        <v>9, Vellala St, Ganga Nagar.</v>
      </c>
      <c r="C9" s="35"/>
      <c r="D9" s="35"/>
      <c r="E9" s="36"/>
    </row>
    <row r="10" spans="2:19" x14ac:dyDescent="0.25">
      <c r="B10" s="25" t="s">
        <v>21</v>
      </c>
      <c r="C10" s="25" t="s">
        <v>22</v>
      </c>
      <c r="D10" s="25" t="s">
        <v>23</v>
      </c>
      <c r="E10" s="25" t="s">
        <v>611</v>
      </c>
      <c r="M10" s="20"/>
      <c r="N10" s="20"/>
      <c r="O10" s="20"/>
      <c r="P10" s="20"/>
      <c r="Q10" s="20"/>
      <c r="R10" s="20"/>
      <c r="S10" s="20"/>
    </row>
    <row r="11" spans="2:19" x14ac:dyDescent="0.25">
      <c r="B11" s="24" t="str">
        <f>INDEX(Customer_Info[City],MATCH(B3,Customer_Info[Company Name],FALSE))</f>
        <v>Chennai</v>
      </c>
      <c r="C11" s="29" t="str">
        <f>IF(VLOOKUP(B3,Customer_Info[#All],7,FALSE)=0,"--",VLOOKUP(B3,Customer_Info[#All],7,FALSE))</f>
        <v>--</v>
      </c>
      <c r="D11" s="24">
        <f>VLOOKUP(B3,Customer_Info[#All],8,FALSE)</f>
        <v>600024</v>
      </c>
      <c r="E11" s="24" t="str">
        <f>VLOOKUP(B3,Customer_Info[#All],9,FALSE)</f>
        <v>Tamil Nadu</v>
      </c>
      <c r="G11" s="19"/>
      <c r="M11" s="23"/>
      <c r="N11" s="23"/>
      <c r="O11" s="23"/>
      <c r="P11" s="20"/>
      <c r="Q11" s="20"/>
      <c r="R11" s="20"/>
      <c r="S11" s="20"/>
    </row>
    <row r="12" spans="2:19" x14ac:dyDescent="0.25">
      <c r="B12" s="19"/>
      <c r="C12" s="19"/>
      <c r="D12" s="19"/>
      <c r="E12" s="19"/>
      <c r="M12" s="23"/>
      <c r="N12" s="23"/>
      <c r="O12" s="23"/>
      <c r="P12" s="20"/>
      <c r="Q12" s="20"/>
      <c r="R12" s="20"/>
      <c r="S12" s="20"/>
    </row>
    <row r="13" spans="2:19" x14ac:dyDescent="0.25">
      <c r="B13" s="37" t="s">
        <v>28</v>
      </c>
      <c r="C13" s="38"/>
      <c r="D13" s="38"/>
      <c r="E13" s="38"/>
      <c r="F13" s="38"/>
      <c r="G13" s="38"/>
      <c r="H13" s="38"/>
      <c r="M13" s="23"/>
      <c r="N13" s="23"/>
      <c r="O13" s="23"/>
      <c r="P13" s="20"/>
      <c r="Q13" s="20"/>
      <c r="R13" s="20"/>
      <c r="S13" s="20"/>
    </row>
    <row r="14" spans="2:19" ht="15.75" customHeight="1" x14ac:dyDescent="0.25">
      <c r="B14" s="19"/>
      <c r="C14" s="19"/>
      <c r="D14" s="19"/>
      <c r="E14" s="19"/>
      <c r="M14" s="23"/>
      <c r="N14" s="23"/>
      <c r="O14" s="23"/>
      <c r="P14" s="20"/>
      <c r="Q14" s="20"/>
      <c r="R14" s="20"/>
      <c r="S14" s="20"/>
    </row>
    <row r="15" spans="2:19" x14ac:dyDescent="0.25">
      <c r="B15" s="12" t="s">
        <v>310</v>
      </c>
      <c r="C15" s="12" t="s">
        <v>311</v>
      </c>
      <c r="D15" s="20" t="s">
        <v>312</v>
      </c>
      <c r="E15" s="20" t="s">
        <v>313</v>
      </c>
      <c r="F15" s="20" t="s">
        <v>308</v>
      </c>
      <c r="G15" s="20" t="s">
        <v>643</v>
      </c>
      <c r="H15" s="20" t="s">
        <v>314</v>
      </c>
      <c r="I15" s="3" t="s">
        <v>303</v>
      </c>
      <c r="J15" s="3" t="s">
        <v>647</v>
      </c>
      <c r="M15" s="23"/>
      <c r="N15" s="23"/>
      <c r="O15" s="23"/>
      <c r="P15" s="20"/>
      <c r="Q15" s="20"/>
      <c r="R15" s="20"/>
      <c r="S15" s="20"/>
    </row>
    <row r="16" spans="2:19" s="2" customFormat="1" hidden="1" x14ac:dyDescent="0.25">
      <c r="B16">
        <v>10643</v>
      </c>
      <c r="C16" t="s">
        <v>29</v>
      </c>
      <c r="D16" s="6">
        <v>42972</v>
      </c>
      <c r="E16" s="6">
        <v>43000</v>
      </c>
      <c r="F16" s="6">
        <v>42980</v>
      </c>
      <c r="G16" s="3" t="s">
        <v>644</v>
      </c>
      <c r="H16" s="3">
        <v>147.30000000000001</v>
      </c>
      <c r="I16" s="3" t="s">
        <v>315</v>
      </c>
      <c r="J16" s="3" t="str">
        <f>TEXT(D16,"mmm")</f>
        <v>Aug</v>
      </c>
      <c r="K16"/>
      <c r="L16"/>
      <c r="M16" s="6"/>
      <c r="N16" s="6"/>
      <c r="O16" s="6"/>
      <c r="P16" s="3"/>
      <c r="Q16" s="3"/>
      <c r="R16" s="3"/>
      <c r="S16" s="3"/>
    </row>
    <row r="17" spans="2:19" s="2" customFormat="1" hidden="1" x14ac:dyDescent="0.25">
      <c r="B17">
        <v>10692</v>
      </c>
      <c r="C17" t="s">
        <v>29</v>
      </c>
      <c r="D17" s="6">
        <v>43011</v>
      </c>
      <c r="E17" s="6">
        <v>43039</v>
      </c>
      <c r="F17" s="6">
        <v>43021</v>
      </c>
      <c r="G17" s="3" t="s">
        <v>645</v>
      </c>
      <c r="H17" s="3">
        <v>305.10000000000002</v>
      </c>
      <c r="I17" s="3" t="s">
        <v>315</v>
      </c>
      <c r="J17" s="3" t="str">
        <f t="shared" ref="J17:J80" si="0">TEXT(D17,"mmm")</f>
        <v>Oct</v>
      </c>
      <c r="K17"/>
      <c r="L17"/>
      <c r="M17" s="6"/>
      <c r="N17" s="6"/>
      <c r="O17" s="6"/>
      <c r="P17" s="3"/>
      <c r="Q17" s="3"/>
      <c r="R17" s="3"/>
      <c r="S17" s="3"/>
    </row>
    <row r="18" spans="2:19" s="2" customFormat="1" hidden="1" x14ac:dyDescent="0.25">
      <c r="B18">
        <v>10702</v>
      </c>
      <c r="C18" t="s">
        <v>29</v>
      </c>
      <c r="D18" s="6">
        <v>43021</v>
      </c>
      <c r="E18" s="6">
        <v>43063</v>
      </c>
      <c r="F18" s="6">
        <v>43029</v>
      </c>
      <c r="G18" s="3" t="s">
        <v>644</v>
      </c>
      <c r="H18" s="3">
        <v>119.7</v>
      </c>
      <c r="I18" s="3" t="s">
        <v>315</v>
      </c>
      <c r="J18" s="3" t="str">
        <f t="shared" si="0"/>
        <v>Oct</v>
      </c>
      <c r="K18"/>
      <c r="L18"/>
      <c r="M18" s="6"/>
      <c r="N18" s="6"/>
      <c r="O18" s="6"/>
      <c r="P18" s="3"/>
      <c r="Q18" s="3"/>
      <c r="R18" s="3"/>
      <c r="S18" s="3"/>
    </row>
    <row r="19" spans="2:19" s="2" customFormat="1" hidden="1" x14ac:dyDescent="0.25">
      <c r="B19">
        <v>10835</v>
      </c>
      <c r="C19" t="s">
        <v>29</v>
      </c>
      <c r="D19" s="6">
        <v>43115</v>
      </c>
      <c r="E19" s="6">
        <v>43143</v>
      </c>
      <c r="F19" s="6">
        <v>43121</v>
      </c>
      <c r="G19" s="3" t="s">
        <v>646</v>
      </c>
      <c r="H19" s="3">
        <v>347.65</v>
      </c>
      <c r="I19" s="3" t="s">
        <v>315</v>
      </c>
      <c r="J19" s="3" t="str">
        <f t="shared" si="0"/>
        <v>Jan</v>
      </c>
      <c r="K19"/>
      <c r="L19"/>
      <c r="M19" s="6"/>
      <c r="N19" s="6"/>
      <c r="O19" s="6"/>
      <c r="P19" s="3"/>
      <c r="Q19" s="3"/>
      <c r="R19" s="3"/>
      <c r="S19" s="3"/>
    </row>
    <row r="20" spans="2:19" s="2" customFormat="1" hidden="1" x14ac:dyDescent="0.25">
      <c r="B20">
        <v>10952</v>
      </c>
      <c r="C20" t="s">
        <v>29</v>
      </c>
      <c r="D20" s="6">
        <v>43175</v>
      </c>
      <c r="E20" s="6">
        <v>43217</v>
      </c>
      <c r="F20" s="6">
        <v>43183</v>
      </c>
      <c r="G20" s="3" t="s">
        <v>644</v>
      </c>
      <c r="H20" s="3">
        <v>202.10000000000002</v>
      </c>
      <c r="I20" s="3" t="s">
        <v>315</v>
      </c>
      <c r="J20" s="3" t="str">
        <f t="shared" si="0"/>
        <v>Mar</v>
      </c>
      <c r="K20"/>
      <c r="L20"/>
      <c r="M20" s="6"/>
      <c r="N20" s="6"/>
      <c r="O20" s="6"/>
      <c r="P20" s="3"/>
      <c r="Q20" s="3"/>
      <c r="R20" s="3"/>
      <c r="S20" s="3"/>
    </row>
    <row r="21" spans="2:19" s="2" customFormat="1" hidden="1" x14ac:dyDescent="0.25">
      <c r="B21">
        <v>11011</v>
      </c>
      <c r="C21" t="s">
        <v>29</v>
      </c>
      <c r="D21" s="6">
        <v>43199</v>
      </c>
      <c r="E21" s="6">
        <v>43227</v>
      </c>
      <c r="F21" s="6">
        <v>43203</v>
      </c>
      <c r="G21" s="3" t="s">
        <v>644</v>
      </c>
      <c r="H21" s="3">
        <v>6.05</v>
      </c>
      <c r="I21" s="3" t="s">
        <v>315</v>
      </c>
      <c r="J21" s="3" t="str">
        <f t="shared" si="0"/>
        <v>Apr</v>
      </c>
      <c r="K21"/>
      <c r="L21"/>
      <c r="M21" s="6"/>
      <c r="N21" s="6"/>
      <c r="O21" s="6"/>
      <c r="P21" s="3"/>
      <c r="Q21" s="3"/>
      <c r="R21" s="3"/>
      <c r="S21" s="3"/>
    </row>
    <row r="22" spans="2:19" s="2" customFormat="1" hidden="1" x14ac:dyDescent="0.25">
      <c r="B22">
        <v>10308</v>
      </c>
      <c r="C22" t="s">
        <v>33</v>
      </c>
      <c r="D22" s="6">
        <v>42631</v>
      </c>
      <c r="E22" s="6">
        <v>42659</v>
      </c>
      <c r="F22" s="6">
        <v>42637</v>
      </c>
      <c r="G22" s="3" t="s">
        <v>646</v>
      </c>
      <c r="H22" s="3">
        <v>8.0500000000000007</v>
      </c>
      <c r="I22" s="3" t="s">
        <v>316</v>
      </c>
      <c r="J22" s="3" t="str">
        <f t="shared" si="0"/>
        <v>Sep</v>
      </c>
      <c r="K22"/>
      <c r="L22"/>
      <c r="M22" s="6"/>
      <c r="N22" s="6"/>
      <c r="O22" s="6"/>
      <c r="P22" s="3"/>
      <c r="Q22" s="3"/>
      <c r="R22" s="3"/>
      <c r="S22" s="3"/>
    </row>
    <row r="23" spans="2:19" s="2" customFormat="1" hidden="1" x14ac:dyDescent="0.25">
      <c r="B23">
        <v>10625</v>
      </c>
      <c r="C23" t="s">
        <v>33</v>
      </c>
      <c r="D23" s="6">
        <v>42955</v>
      </c>
      <c r="E23" s="6">
        <v>42983</v>
      </c>
      <c r="F23" s="6">
        <v>42961</v>
      </c>
      <c r="G23" s="3" t="s">
        <v>644</v>
      </c>
      <c r="H23" s="3">
        <v>219.5</v>
      </c>
      <c r="I23" s="3" t="s">
        <v>316</v>
      </c>
      <c r="J23" s="3" t="str">
        <f t="shared" si="0"/>
        <v>Aug</v>
      </c>
      <c r="K23"/>
      <c r="L23"/>
      <c r="M23" s="6"/>
      <c r="N23" s="6"/>
      <c r="O23" s="6"/>
      <c r="P23" s="3"/>
      <c r="Q23" s="3"/>
      <c r="R23" s="3"/>
      <c r="S23" s="3"/>
    </row>
    <row r="24" spans="2:19" s="2" customFormat="1" hidden="1" x14ac:dyDescent="0.25">
      <c r="B24">
        <v>10759</v>
      </c>
      <c r="C24" t="s">
        <v>33</v>
      </c>
      <c r="D24" s="6">
        <v>43067</v>
      </c>
      <c r="E24" s="6">
        <v>43095</v>
      </c>
      <c r="F24" s="6">
        <v>43081</v>
      </c>
      <c r="G24" s="3" t="s">
        <v>646</v>
      </c>
      <c r="H24" s="3">
        <v>59.95</v>
      </c>
      <c r="I24" s="3" t="s">
        <v>316</v>
      </c>
      <c r="J24" s="3" t="str">
        <f t="shared" si="0"/>
        <v>Nov</v>
      </c>
      <c r="K24"/>
      <c r="L24"/>
      <c r="M24" s="6"/>
      <c r="N24" s="6"/>
      <c r="O24" s="6"/>
      <c r="P24" s="3"/>
      <c r="Q24" s="3"/>
      <c r="R24" s="3"/>
      <c r="S24" s="3"/>
    </row>
    <row r="25" spans="2:19" s="2" customFormat="1" hidden="1" x14ac:dyDescent="0.25">
      <c r="B25">
        <v>10926</v>
      </c>
      <c r="C25" t="s">
        <v>33</v>
      </c>
      <c r="D25" s="6">
        <v>43163</v>
      </c>
      <c r="E25" s="6">
        <v>43191</v>
      </c>
      <c r="F25" s="6">
        <v>43170</v>
      </c>
      <c r="G25" s="3" t="s">
        <v>646</v>
      </c>
      <c r="H25" s="3">
        <v>199.60000000000002</v>
      </c>
      <c r="I25" s="3" t="s">
        <v>316</v>
      </c>
      <c r="J25" s="3" t="str">
        <f t="shared" si="0"/>
        <v>Mar</v>
      </c>
      <c r="K25"/>
      <c r="L25"/>
      <c r="M25" s="6"/>
      <c r="N25" s="6"/>
      <c r="O25" s="6"/>
      <c r="P25" s="3"/>
      <c r="Q25" s="3"/>
      <c r="R25" s="3"/>
      <c r="S25" s="3"/>
    </row>
    <row r="26" spans="2:19" s="2" customFormat="1" x14ac:dyDescent="0.25">
      <c r="B26">
        <v>10365</v>
      </c>
      <c r="C26" t="s">
        <v>37</v>
      </c>
      <c r="D26" s="6">
        <v>42701</v>
      </c>
      <c r="E26" s="6">
        <v>42729</v>
      </c>
      <c r="F26" s="6">
        <v>42706</v>
      </c>
      <c r="G26" s="3" t="s">
        <v>645</v>
      </c>
      <c r="H26" s="3">
        <v>110</v>
      </c>
      <c r="I26" s="3" t="s">
        <v>317</v>
      </c>
      <c r="J26" s="3" t="str">
        <f t="shared" si="0"/>
        <v>Nov</v>
      </c>
      <c r="K26"/>
      <c r="L26"/>
      <c r="M26" s="6"/>
      <c r="N26" s="6"/>
      <c r="O26" s="6"/>
      <c r="P26" s="3"/>
      <c r="Q26" s="3"/>
      <c r="R26" s="3"/>
      <c r="S26" s="3"/>
    </row>
    <row r="27" spans="2:19" s="2" customFormat="1" x14ac:dyDescent="0.25">
      <c r="B27">
        <v>10507</v>
      </c>
      <c r="C27" t="s">
        <v>37</v>
      </c>
      <c r="D27" s="6">
        <v>42840</v>
      </c>
      <c r="E27" s="6">
        <v>42868</v>
      </c>
      <c r="F27" s="6">
        <v>42847</v>
      </c>
      <c r="G27" s="3" t="s">
        <v>644</v>
      </c>
      <c r="H27" s="3">
        <v>237.25</v>
      </c>
      <c r="I27" s="3" t="s">
        <v>317</v>
      </c>
      <c r="J27" s="3" t="str">
        <f t="shared" si="0"/>
        <v>Apr</v>
      </c>
      <c r="K27"/>
      <c r="L27"/>
      <c r="M27" s="6"/>
      <c r="N27" s="6"/>
      <c r="O27" s="6"/>
      <c r="P27" s="3"/>
      <c r="Q27" s="3"/>
      <c r="R27" s="3"/>
      <c r="S27" s="3"/>
    </row>
    <row r="28" spans="2:19" s="2" customFormat="1" x14ac:dyDescent="0.25">
      <c r="B28">
        <v>10535</v>
      </c>
      <c r="C28" t="s">
        <v>37</v>
      </c>
      <c r="D28" s="6">
        <v>42868</v>
      </c>
      <c r="E28" s="6">
        <v>42896</v>
      </c>
      <c r="F28" s="6">
        <v>42876</v>
      </c>
      <c r="G28" s="3" t="s">
        <v>644</v>
      </c>
      <c r="H28" s="3">
        <v>78.2</v>
      </c>
      <c r="I28" s="3" t="s">
        <v>317</v>
      </c>
      <c r="J28" s="3" t="str">
        <f t="shared" si="0"/>
        <v>May</v>
      </c>
      <c r="K28"/>
      <c r="L28"/>
      <c r="M28" s="6"/>
      <c r="N28" s="6"/>
      <c r="O28" s="6"/>
      <c r="P28" s="3"/>
      <c r="Q28" s="3"/>
      <c r="R28" s="3"/>
      <c r="S28" s="3"/>
    </row>
    <row r="29" spans="2:19" s="2" customFormat="1" x14ac:dyDescent="0.25">
      <c r="B29">
        <v>10573</v>
      </c>
      <c r="C29" t="s">
        <v>37</v>
      </c>
      <c r="D29" s="6">
        <v>42905</v>
      </c>
      <c r="E29" s="6">
        <v>42933</v>
      </c>
      <c r="F29" s="6">
        <v>42906</v>
      </c>
      <c r="G29" s="3" t="s">
        <v>646</v>
      </c>
      <c r="H29" s="3">
        <v>424.20000000000005</v>
      </c>
      <c r="I29" s="3" t="s">
        <v>317</v>
      </c>
      <c r="J29" s="3" t="str">
        <f t="shared" si="0"/>
        <v>Jun</v>
      </c>
      <c r="K29"/>
      <c r="L29"/>
      <c r="M29" s="6"/>
      <c r="N29" s="6"/>
      <c r="O29" s="6"/>
      <c r="P29" s="3"/>
      <c r="Q29" s="3"/>
      <c r="R29" s="3"/>
      <c r="S29" s="3"/>
    </row>
    <row r="30" spans="2:19" s="2" customFormat="1" x14ac:dyDescent="0.25">
      <c r="B30">
        <v>10677</v>
      </c>
      <c r="C30" t="s">
        <v>37</v>
      </c>
      <c r="D30" s="6">
        <v>43000</v>
      </c>
      <c r="E30" s="6">
        <v>43028</v>
      </c>
      <c r="F30" s="6">
        <v>43004</v>
      </c>
      <c r="G30" s="3" t="s">
        <v>646</v>
      </c>
      <c r="H30" s="3">
        <v>20.150000000000002</v>
      </c>
      <c r="I30" s="3" t="s">
        <v>317</v>
      </c>
      <c r="J30" s="3" t="str">
        <f t="shared" si="0"/>
        <v>Sep</v>
      </c>
      <c r="K30"/>
      <c r="L30"/>
      <c r="M30" s="6"/>
      <c r="N30" s="6"/>
      <c r="O30" s="6"/>
      <c r="P30" s="3"/>
      <c r="Q30" s="3"/>
      <c r="R30" s="3"/>
      <c r="S30" s="3"/>
    </row>
    <row r="31" spans="2:19" s="2" customFormat="1" x14ac:dyDescent="0.25">
      <c r="B31">
        <v>10682</v>
      </c>
      <c r="C31" t="s">
        <v>37</v>
      </c>
      <c r="D31" s="6">
        <v>43003</v>
      </c>
      <c r="E31" s="6">
        <v>43031</v>
      </c>
      <c r="F31" s="6">
        <v>43009</v>
      </c>
      <c r="G31" s="3" t="s">
        <v>645</v>
      </c>
      <c r="H31" s="3">
        <v>180.65</v>
      </c>
      <c r="I31" s="3" t="s">
        <v>317</v>
      </c>
      <c r="J31" s="3" t="str">
        <f t="shared" si="0"/>
        <v>Sep</v>
      </c>
      <c r="K31"/>
      <c r="L31"/>
      <c r="M31" s="6"/>
      <c r="N31" s="6"/>
      <c r="O31" s="6"/>
      <c r="P31" s="3"/>
      <c r="Q31" s="3"/>
      <c r="R31" s="3"/>
      <c r="S31" s="3"/>
    </row>
    <row r="32" spans="2:19" s="2" customFormat="1" x14ac:dyDescent="0.25">
      <c r="B32">
        <v>10856</v>
      </c>
      <c r="C32" t="s">
        <v>37</v>
      </c>
      <c r="D32" s="6">
        <v>43128</v>
      </c>
      <c r="E32" s="6">
        <v>43156</v>
      </c>
      <c r="F32" s="6">
        <v>43141</v>
      </c>
      <c r="G32" s="3" t="s">
        <v>645</v>
      </c>
      <c r="H32" s="3">
        <v>292.14999999999998</v>
      </c>
      <c r="I32" s="3" t="s">
        <v>317</v>
      </c>
      <c r="J32" s="3" t="str">
        <f t="shared" si="0"/>
        <v>Jan</v>
      </c>
      <c r="K32"/>
      <c r="L32"/>
      <c r="M32" s="6"/>
      <c r="N32" s="6"/>
      <c r="O32" s="6"/>
      <c r="P32" s="3"/>
      <c r="Q32" s="3"/>
      <c r="R32" s="3"/>
      <c r="S32" s="3"/>
    </row>
    <row r="33" spans="2:19" hidden="1" x14ac:dyDescent="0.25">
      <c r="B33" s="12">
        <v>10355</v>
      </c>
      <c r="C33" s="12" t="s">
        <v>39</v>
      </c>
      <c r="D33" s="23">
        <v>42689</v>
      </c>
      <c r="E33" s="23">
        <v>42717</v>
      </c>
      <c r="F33" s="23">
        <v>42694</v>
      </c>
      <c r="G33" s="20" t="s">
        <v>644</v>
      </c>
      <c r="H33" s="20">
        <v>209.75</v>
      </c>
      <c r="I33" s="3" t="s">
        <v>318</v>
      </c>
      <c r="J33" s="3" t="str">
        <f t="shared" si="0"/>
        <v>Nov</v>
      </c>
      <c r="M33" s="23"/>
      <c r="N33" s="23"/>
      <c r="O33" s="23"/>
      <c r="P33" s="20"/>
      <c r="Q33" s="20"/>
      <c r="R33" s="20"/>
      <c r="S33" s="20"/>
    </row>
    <row r="34" spans="2:19" hidden="1" x14ac:dyDescent="0.25">
      <c r="B34" s="12">
        <v>10383</v>
      </c>
      <c r="C34" s="12" t="s">
        <v>39</v>
      </c>
      <c r="D34" s="23">
        <v>42720</v>
      </c>
      <c r="E34" s="23">
        <v>42748</v>
      </c>
      <c r="F34" s="23">
        <v>42722</v>
      </c>
      <c r="G34" s="20" t="s">
        <v>646</v>
      </c>
      <c r="H34" s="20">
        <v>171.20000000000002</v>
      </c>
      <c r="I34" s="3" t="s">
        <v>318</v>
      </c>
      <c r="J34" s="3" t="str">
        <f t="shared" si="0"/>
        <v>Dec</v>
      </c>
      <c r="M34" s="23"/>
      <c r="N34" s="23"/>
      <c r="O34" s="23"/>
      <c r="P34" s="20"/>
      <c r="Q34" s="20"/>
      <c r="R34" s="20"/>
      <c r="S34" s="20"/>
    </row>
    <row r="35" spans="2:19" hidden="1" x14ac:dyDescent="0.25">
      <c r="B35" s="12">
        <v>10453</v>
      </c>
      <c r="C35" s="12" t="s">
        <v>39</v>
      </c>
      <c r="D35" s="23">
        <v>42787</v>
      </c>
      <c r="E35" s="23">
        <v>42815</v>
      </c>
      <c r="F35" s="23">
        <v>42792</v>
      </c>
      <c r="G35" s="20" t="s">
        <v>645</v>
      </c>
      <c r="H35" s="20">
        <v>126.8</v>
      </c>
      <c r="I35" s="3" t="s">
        <v>318</v>
      </c>
      <c r="J35" s="3" t="str">
        <f t="shared" si="0"/>
        <v>Feb</v>
      </c>
      <c r="M35" s="23"/>
      <c r="N35" s="23"/>
      <c r="O35" s="23"/>
      <c r="P35" s="20"/>
      <c r="Q35" s="20"/>
      <c r="R35" s="20"/>
      <c r="S35" s="20"/>
    </row>
    <row r="36" spans="2:19" hidden="1" x14ac:dyDescent="0.25">
      <c r="B36" s="12">
        <v>10558</v>
      </c>
      <c r="C36" s="12" t="s">
        <v>39</v>
      </c>
      <c r="D36" s="23">
        <v>42890</v>
      </c>
      <c r="E36" s="23">
        <v>42918</v>
      </c>
      <c r="F36" s="23">
        <v>42896</v>
      </c>
      <c r="G36" s="20" t="s">
        <v>645</v>
      </c>
      <c r="H36" s="20">
        <v>364.85</v>
      </c>
      <c r="I36" s="3" t="s">
        <v>318</v>
      </c>
      <c r="J36" s="3" t="str">
        <f t="shared" si="0"/>
        <v>Jun</v>
      </c>
      <c r="M36" s="23"/>
      <c r="N36" s="23"/>
      <c r="O36" s="23"/>
      <c r="P36" s="20"/>
      <c r="Q36" s="20"/>
      <c r="R36" s="20"/>
      <c r="S36" s="20"/>
    </row>
    <row r="37" spans="2:19" hidden="1" x14ac:dyDescent="0.25">
      <c r="B37" s="12">
        <v>10707</v>
      </c>
      <c r="C37" s="12" t="s">
        <v>39</v>
      </c>
      <c r="D37" s="23">
        <v>43024</v>
      </c>
      <c r="E37" s="23">
        <v>43038</v>
      </c>
      <c r="F37" s="23">
        <v>43031</v>
      </c>
      <c r="G37" s="20" t="s">
        <v>646</v>
      </c>
      <c r="H37" s="20">
        <v>108.69999999999999</v>
      </c>
      <c r="I37" s="3" t="s">
        <v>318</v>
      </c>
      <c r="J37" s="3" t="str">
        <f t="shared" si="0"/>
        <v>Oct</v>
      </c>
      <c r="M37" s="23"/>
      <c r="N37" s="23"/>
      <c r="O37" s="23"/>
      <c r="P37" s="20"/>
      <c r="Q37" s="20"/>
      <c r="R37" s="20"/>
      <c r="S37" s="20"/>
    </row>
    <row r="38" spans="2:19" hidden="1" x14ac:dyDescent="0.25">
      <c r="B38" s="12">
        <v>10741</v>
      </c>
      <c r="C38" s="12" t="s">
        <v>39</v>
      </c>
      <c r="D38" s="23">
        <v>43053</v>
      </c>
      <c r="E38" s="23">
        <v>43067</v>
      </c>
      <c r="F38" s="23">
        <v>43057</v>
      </c>
      <c r="G38" s="20" t="s">
        <v>646</v>
      </c>
      <c r="H38" s="20">
        <v>54.800000000000004</v>
      </c>
      <c r="I38" s="3" t="s">
        <v>318</v>
      </c>
      <c r="J38" s="3" t="str">
        <f t="shared" si="0"/>
        <v>Nov</v>
      </c>
      <c r="M38" s="23"/>
      <c r="N38" s="23"/>
      <c r="O38" s="23"/>
      <c r="P38" s="20"/>
      <c r="Q38" s="20"/>
      <c r="R38" s="20"/>
      <c r="S38" s="20"/>
    </row>
    <row r="39" spans="2:19" hidden="1" x14ac:dyDescent="0.25">
      <c r="B39" s="12">
        <v>10743</v>
      </c>
      <c r="C39" s="12" t="s">
        <v>39</v>
      </c>
      <c r="D39" s="23">
        <v>43056</v>
      </c>
      <c r="E39" s="23">
        <v>43084</v>
      </c>
      <c r="F39" s="23">
        <v>43060</v>
      </c>
      <c r="G39" s="20" t="s">
        <v>645</v>
      </c>
      <c r="H39" s="20">
        <v>118.6</v>
      </c>
      <c r="I39" s="3" t="s">
        <v>318</v>
      </c>
      <c r="J39" s="3" t="str">
        <f t="shared" si="0"/>
        <v>Nov</v>
      </c>
      <c r="M39" s="23"/>
      <c r="N39" s="23"/>
      <c r="O39" s="23"/>
      <c r="P39" s="20"/>
      <c r="Q39" s="20"/>
      <c r="R39" s="20"/>
      <c r="S39" s="20"/>
    </row>
    <row r="40" spans="2:19" hidden="1" x14ac:dyDescent="0.25">
      <c r="B40" s="12">
        <v>10768</v>
      </c>
      <c r="C40" s="12" t="s">
        <v>39</v>
      </c>
      <c r="D40" s="23">
        <v>43077</v>
      </c>
      <c r="E40" s="23">
        <v>43105</v>
      </c>
      <c r="F40" s="23">
        <v>43084</v>
      </c>
      <c r="G40" s="20" t="s">
        <v>645</v>
      </c>
      <c r="H40" s="20">
        <v>731.59999999999991</v>
      </c>
      <c r="I40" s="3" t="s">
        <v>318</v>
      </c>
      <c r="J40" s="3" t="str">
        <f t="shared" si="0"/>
        <v>Dec</v>
      </c>
      <c r="M40" s="23"/>
      <c r="N40" s="23"/>
      <c r="O40" s="23"/>
      <c r="P40" s="20"/>
      <c r="Q40" s="20"/>
      <c r="R40" s="20"/>
      <c r="S40" s="20"/>
    </row>
    <row r="41" spans="2:19" hidden="1" x14ac:dyDescent="0.25">
      <c r="B41" s="12">
        <v>10793</v>
      </c>
      <c r="C41" s="12" t="s">
        <v>39</v>
      </c>
      <c r="D41" s="23">
        <v>43093</v>
      </c>
      <c r="E41" s="23">
        <v>43121</v>
      </c>
      <c r="F41" s="23">
        <v>43108</v>
      </c>
      <c r="G41" s="20" t="s">
        <v>646</v>
      </c>
      <c r="H41" s="20">
        <v>22.599999999999998</v>
      </c>
      <c r="I41" s="3" t="s">
        <v>318</v>
      </c>
      <c r="J41" s="3" t="str">
        <f t="shared" si="0"/>
        <v>Dec</v>
      </c>
      <c r="M41" s="23"/>
      <c r="N41" s="23"/>
      <c r="O41" s="23"/>
      <c r="P41" s="20"/>
      <c r="Q41" s="20"/>
      <c r="R41" s="20"/>
      <c r="S41" s="20"/>
    </row>
    <row r="42" spans="2:19" hidden="1" x14ac:dyDescent="0.25">
      <c r="B42" s="12">
        <v>10864</v>
      </c>
      <c r="C42" s="12" t="s">
        <v>39</v>
      </c>
      <c r="D42" s="23">
        <v>43133</v>
      </c>
      <c r="E42" s="23">
        <v>43161</v>
      </c>
      <c r="F42" s="23">
        <v>43140</v>
      </c>
      <c r="G42" s="20" t="s">
        <v>645</v>
      </c>
      <c r="H42" s="20">
        <v>15.2</v>
      </c>
      <c r="I42" s="3" t="s">
        <v>318</v>
      </c>
      <c r="J42" s="3" t="str">
        <f t="shared" si="0"/>
        <v>Feb</v>
      </c>
      <c r="M42" s="23"/>
      <c r="N42" s="23"/>
      <c r="O42" s="23"/>
      <c r="P42" s="20"/>
      <c r="Q42" s="20"/>
      <c r="R42" s="20"/>
      <c r="S42" s="20"/>
    </row>
    <row r="43" spans="2:19" hidden="1" x14ac:dyDescent="0.25">
      <c r="B43" s="12">
        <v>10920</v>
      </c>
      <c r="C43" s="12" t="s">
        <v>39</v>
      </c>
      <c r="D43" s="23">
        <v>43162</v>
      </c>
      <c r="E43" s="23">
        <v>43190</v>
      </c>
      <c r="F43" s="23">
        <v>43168</v>
      </c>
      <c r="G43" s="20" t="s">
        <v>645</v>
      </c>
      <c r="H43" s="20">
        <v>148.05000000000001</v>
      </c>
      <c r="I43" s="3" t="s">
        <v>318</v>
      </c>
      <c r="J43" s="3" t="str">
        <f t="shared" si="0"/>
        <v>Mar</v>
      </c>
      <c r="M43" s="23"/>
      <c r="N43" s="23"/>
      <c r="O43" s="23"/>
      <c r="P43" s="20"/>
      <c r="Q43" s="20"/>
      <c r="R43" s="20"/>
      <c r="S43" s="20"/>
    </row>
    <row r="44" spans="2:19" hidden="1" x14ac:dyDescent="0.25">
      <c r="B44" s="12">
        <v>10953</v>
      </c>
      <c r="C44" s="12" t="s">
        <v>39</v>
      </c>
      <c r="D44" s="23">
        <v>43175</v>
      </c>
      <c r="E44" s="23">
        <v>43189</v>
      </c>
      <c r="F44" s="23">
        <v>43184</v>
      </c>
      <c r="G44" s="20" t="s">
        <v>645</v>
      </c>
      <c r="H44" s="20">
        <v>118.6</v>
      </c>
      <c r="I44" s="3" t="s">
        <v>318</v>
      </c>
      <c r="J44" s="3" t="str">
        <f t="shared" si="0"/>
        <v>Mar</v>
      </c>
      <c r="M44" s="23"/>
      <c r="N44" s="23"/>
      <c r="O44" s="23"/>
      <c r="P44" s="20"/>
      <c r="Q44" s="20"/>
      <c r="R44" s="20"/>
      <c r="S44" s="20"/>
    </row>
    <row r="45" spans="2:19" hidden="1" x14ac:dyDescent="0.25">
      <c r="B45" s="12">
        <v>11016</v>
      </c>
      <c r="C45" s="12" t="s">
        <v>39</v>
      </c>
      <c r="D45" s="23">
        <v>43200</v>
      </c>
      <c r="E45" s="23">
        <v>43228</v>
      </c>
      <c r="F45" s="23">
        <v>43203</v>
      </c>
      <c r="G45" s="20" t="s">
        <v>645</v>
      </c>
      <c r="H45" s="20">
        <v>169</v>
      </c>
      <c r="I45" s="3" t="s">
        <v>318</v>
      </c>
      <c r="J45" s="3" t="str">
        <f t="shared" si="0"/>
        <v>Apr</v>
      </c>
      <c r="M45" s="23"/>
      <c r="N45" s="23"/>
      <c r="O45" s="23"/>
      <c r="P45" s="20"/>
      <c r="Q45" s="20"/>
      <c r="R45" s="20"/>
      <c r="S45" s="20"/>
    </row>
    <row r="46" spans="2:19" s="2" customFormat="1" hidden="1" x14ac:dyDescent="0.25">
      <c r="B46">
        <v>10278</v>
      </c>
      <c r="C46" t="s">
        <v>42</v>
      </c>
      <c r="D46" s="6">
        <v>42594</v>
      </c>
      <c r="E46" s="6">
        <v>42622</v>
      </c>
      <c r="F46" s="6">
        <v>42598</v>
      </c>
      <c r="G46" s="3" t="s">
        <v>645</v>
      </c>
      <c r="H46" s="3">
        <v>463.45</v>
      </c>
      <c r="I46" s="3" t="s">
        <v>319</v>
      </c>
      <c r="J46" s="3" t="str">
        <f t="shared" si="0"/>
        <v>Aug</v>
      </c>
      <c r="K46"/>
      <c r="L46"/>
      <c r="M46" s="6"/>
      <c r="N46" s="6"/>
      <c r="O46" s="6"/>
      <c r="P46" s="3"/>
      <c r="Q46" s="3"/>
      <c r="R46" s="3"/>
      <c r="S46" s="3"/>
    </row>
    <row r="47" spans="2:19" s="2" customFormat="1" hidden="1" x14ac:dyDescent="0.25">
      <c r="B47">
        <v>10280</v>
      </c>
      <c r="C47" t="s">
        <v>42</v>
      </c>
      <c r="D47" s="6">
        <v>42596</v>
      </c>
      <c r="E47" s="6">
        <v>42624</v>
      </c>
      <c r="F47" s="6">
        <v>42625</v>
      </c>
      <c r="G47" s="3" t="s">
        <v>644</v>
      </c>
      <c r="H47" s="3">
        <v>44.900000000000006</v>
      </c>
      <c r="I47" s="3" t="s">
        <v>319</v>
      </c>
      <c r="J47" s="3" t="str">
        <f t="shared" si="0"/>
        <v>Aug</v>
      </c>
      <c r="K47"/>
      <c r="L47"/>
      <c r="M47" s="6"/>
      <c r="N47" s="6"/>
      <c r="O47" s="6"/>
      <c r="P47" s="3"/>
      <c r="Q47" s="3"/>
      <c r="R47" s="3"/>
      <c r="S47" s="3"/>
    </row>
    <row r="48" spans="2:19" s="2" customFormat="1" hidden="1" x14ac:dyDescent="0.25">
      <c r="B48">
        <v>10384</v>
      </c>
      <c r="C48" t="s">
        <v>42</v>
      </c>
      <c r="D48" s="6">
        <v>42720</v>
      </c>
      <c r="E48" s="6">
        <v>42748</v>
      </c>
      <c r="F48" s="6">
        <v>42724</v>
      </c>
      <c r="G48" s="3" t="s">
        <v>646</v>
      </c>
      <c r="H48" s="3">
        <v>843.19999999999993</v>
      </c>
      <c r="I48" s="3" t="s">
        <v>319</v>
      </c>
      <c r="J48" s="3" t="str">
        <f t="shared" si="0"/>
        <v>Dec</v>
      </c>
      <c r="K48"/>
      <c r="L48"/>
      <c r="M48" s="6"/>
      <c r="N48" s="6"/>
      <c r="O48" s="6"/>
      <c r="P48" s="3"/>
      <c r="Q48" s="3"/>
      <c r="R48" s="3"/>
      <c r="S48" s="3"/>
    </row>
    <row r="49" spans="2:19" s="2" customFormat="1" hidden="1" x14ac:dyDescent="0.25">
      <c r="B49">
        <v>10444</v>
      </c>
      <c r="C49" t="s">
        <v>42</v>
      </c>
      <c r="D49" s="6">
        <v>42778</v>
      </c>
      <c r="E49" s="6">
        <v>42806</v>
      </c>
      <c r="F49" s="6">
        <v>42787</v>
      </c>
      <c r="G49" s="3" t="s">
        <v>646</v>
      </c>
      <c r="H49" s="3">
        <v>17.5</v>
      </c>
      <c r="I49" s="3" t="s">
        <v>319</v>
      </c>
      <c r="J49" s="3" t="str">
        <f t="shared" si="0"/>
        <v>Feb</v>
      </c>
      <c r="K49"/>
      <c r="L49"/>
      <c r="M49" s="6"/>
      <c r="N49" s="6"/>
      <c r="O49" s="6"/>
      <c r="P49" s="3"/>
      <c r="Q49" s="3"/>
      <c r="R49" s="3"/>
      <c r="S49" s="3"/>
    </row>
    <row r="50" spans="2:19" s="2" customFormat="1" hidden="1" x14ac:dyDescent="0.25">
      <c r="B50">
        <v>10445</v>
      </c>
      <c r="C50" t="s">
        <v>42</v>
      </c>
      <c r="D50" s="6">
        <v>42779</v>
      </c>
      <c r="E50" s="6">
        <v>42807</v>
      </c>
      <c r="F50" s="6">
        <v>42786</v>
      </c>
      <c r="G50" s="3" t="s">
        <v>644</v>
      </c>
      <c r="H50" s="3">
        <v>46.5</v>
      </c>
      <c r="I50" s="3" t="s">
        <v>319</v>
      </c>
      <c r="J50" s="3" t="str">
        <f t="shared" si="0"/>
        <v>Feb</v>
      </c>
      <c r="K50"/>
      <c r="L50"/>
      <c r="M50" s="6"/>
      <c r="N50" s="6"/>
      <c r="O50" s="6"/>
      <c r="P50" s="3"/>
      <c r="Q50" s="3"/>
      <c r="R50" s="3"/>
      <c r="S50" s="3"/>
    </row>
    <row r="51" spans="2:19" s="2" customFormat="1" hidden="1" x14ac:dyDescent="0.25">
      <c r="B51">
        <v>10524</v>
      </c>
      <c r="C51" t="s">
        <v>42</v>
      </c>
      <c r="D51" s="6">
        <v>42856</v>
      </c>
      <c r="E51" s="6">
        <v>42884</v>
      </c>
      <c r="F51" s="6">
        <v>42862</v>
      </c>
      <c r="G51" s="3" t="s">
        <v>645</v>
      </c>
      <c r="H51" s="3">
        <v>1223.95</v>
      </c>
      <c r="I51" s="3" t="s">
        <v>319</v>
      </c>
      <c r="J51" s="3" t="str">
        <f t="shared" si="0"/>
        <v>May</v>
      </c>
      <c r="K51"/>
      <c r="L51"/>
      <c r="M51" s="6"/>
      <c r="N51" s="6"/>
      <c r="O51" s="6"/>
      <c r="P51" s="3"/>
      <c r="Q51" s="3"/>
      <c r="R51" s="3"/>
      <c r="S51" s="3"/>
    </row>
    <row r="52" spans="2:19" s="2" customFormat="1" hidden="1" x14ac:dyDescent="0.25">
      <c r="B52">
        <v>10572</v>
      </c>
      <c r="C52" t="s">
        <v>42</v>
      </c>
      <c r="D52" s="6">
        <v>42904</v>
      </c>
      <c r="E52" s="6">
        <v>42932</v>
      </c>
      <c r="F52" s="6">
        <v>42911</v>
      </c>
      <c r="G52" s="3" t="s">
        <v>645</v>
      </c>
      <c r="H52" s="3">
        <v>582.15000000000009</v>
      </c>
      <c r="I52" s="3" t="s">
        <v>319</v>
      </c>
      <c r="J52" s="3" t="str">
        <f t="shared" si="0"/>
        <v>Jun</v>
      </c>
      <c r="K52"/>
      <c r="L52"/>
      <c r="M52" s="6"/>
      <c r="N52" s="6"/>
      <c r="O52" s="6"/>
      <c r="P52" s="3"/>
      <c r="Q52" s="3"/>
      <c r="R52" s="3"/>
      <c r="S52" s="3"/>
    </row>
    <row r="53" spans="2:19" s="2" customFormat="1" hidden="1" x14ac:dyDescent="0.25">
      <c r="B53">
        <v>10626</v>
      </c>
      <c r="C53" t="s">
        <v>42</v>
      </c>
      <c r="D53" s="6">
        <v>42958</v>
      </c>
      <c r="E53" s="6">
        <v>42986</v>
      </c>
      <c r="F53" s="6">
        <v>42967</v>
      </c>
      <c r="G53" s="3" t="s">
        <v>645</v>
      </c>
      <c r="H53" s="3">
        <v>693.45</v>
      </c>
      <c r="I53" s="3" t="s">
        <v>319</v>
      </c>
      <c r="J53" s="3" t="str">
        <f t="shared" si="0"/>
        <v>Aug</v>
      </c>
      <c r="K53"/>
      <c r="L53"/>
      <c r="M53" s="6"/>
      <c r="N53" s="6"/>
      <c r="O53" s="6"/>
      <c r="P53" s="3"/>
      <c r="Q53" s="3"/>
      <c r="R53" s="3"/>
      <c r="S53" s="3"/>
    </row>
    <row r="54" spans="2:19" s="2" customFormat="1" hidden="1" x14ac:dyDescent="0.25">
      <c r="B54">
        <v>10654</v>
      </c>
      <c r="C54" t="s">
        <v>42</v>
      </c>
      <c r="D54" s="6">
        <v>42980</v>
      </c>
      <c r="E54" s="6">
        <v>43008</v>
      </c>
      <c r="F54" s="6">
        <v>42989</v>
      </c>
      <c r="G54" s="3" t="s">
        <v>644</v>
      </c>
      <c r="H54" s="3">
        <v>276.3</v>
      </c>
      <c r="I54" s="3" t="s">
        <v>319</v>
      </c>
      <c r="J54" s="3" t="str">
        <f t="shared" si="0"/>
        <v>Sep</v>
      </c>
      <c r="K54"/>
      <c r="L54"/>
      <c r="M54" s="6"/>
      <c r="N54" s="6"/>
      <c r="O54" s="6"/>
      <c r="P54" s="3"/>
      <c r="Q54" s="3"/>
      <c r="R54" s="3"/>
      <c r="S54" s="3"/>
    </row>
    <row r="55" spans="2:19" s="2" customFormat="1" hidden="1" x14ac:dyDescent="0.25">
      <c r="B55">
        <v>10672</v>
      </c>
      <c r="C55" t="s">
        <v>42</v>
      </c>
      <c r="D55" s="6">
        <v>42995</v>
      </c>
      <c r="E55" s="6">
        <v>43009</v>
      </c>
      <c r="F55" s="6">
        <v>43004</v>
      </c>
      <c r="G55" s="3" t="s">
        <v>645</v>
      </c>
      <c r="H55" s="3">
        <v>478.75</v>
      </c>
      <c r="I55" s="3" t="s">
        <v>319</v>
      </c>
      <c r="J55" s="3" t="str">
        <f t="shared" si="0"/>
        <v>Sep</v>
      </c>
      <c r="K55"/>
      <c r="L55"/>
      <c r="M55" s="6"/>
      <c r="N55" s="6"/>
      <c r="O55" s="6"/>
      <c r="P55" s="3"/>
      <c r="Q55" s="3"/>
      <c r="R55" s="3"/>
      <c r="S55" s="3"/>
    </row>
    <row r="56" spans="2:19" s="2" customFormat="1" hidden="1" x14ac:dyDescent="0.25">
      <c r="B56">
        <v>10689</v>
      </c>
      <c r="C56" t="s">
        <v>42</v>
      </c>
      <c r="D56" s="6">
        <v>43009</v>
      </c>
      <c r="E56" s="6">
        <v>43037</v>
      </c>
      <c r="F56" s="6">
        <v>43015</v>
      </c>
      <c r="G56" s="3" t="s">
        <v>645</v>
      </c>
      <c r="H56" s="3">
        <v>67.099999999999994</v>
      </c>
      <c r="I56" s="3" t="s">
        <v>319</v>
      </c>
      <c r="J56" s="3" t="str">
        <f t="shared" si="0"/>
        <v>Oct</v>
      </c>
      <c r="K56"/>
      <c r="L56"/>
      <c r="M56" s="6"/>
      <c r="N56" s="6"/>
      <c r="O56" s="6"/>
      <c r="P56" s="3"/>
      <c r="Q56" s="3"/>
      <c r="R56" s="3"/>
      <c r="S56" s="3"/>
    </row>
    <row r="57" spans="2:19" s="2" customFormat="1" hidden="1" x14ac:dyDescent="0.25">
      <c r="B57">
        <v>10733</v>
      </c>
      <c r="C57" t="s">
        <v>42</v>
      </c>
      <c r="D57" s="6">
        <v>43046</v>
      </c>
      <c r="E57" s="6">
        <v>43074</v>
      </c>
      <c r="F57" s="6">
        <v>43049</v>
      </c>
      <c r="G57" s="3" t="s">
        <v>646</v>
      </c>
      <c r="H57" s="3">
        <v>550.54999999999995</v>
      </c>
      <c r="I57" s="3" t="s">
        <v>319</v>
      </c>
      <c r="J57" s="3" t="str">
        <f t="shared" si="0"/>
        <v>Nov</v>
      </c>
      <c r="K57"/>
      <c r="L57"/>
      <c r="M57" s="6"/>
      <c r="N57" s="6"/>
      <c r="O57" s="6"/>
      <c r="P57" s="3"/>
      <c r="Q57" s="3"/>
      <c r="R57" s="3"/>
      <c r="S57" s="3"/>
    </row>
    <row r="58" spans="2:19" s="2" customFormat="1" hidden="1" x14ac:dyDescent="0.25">
      <c r="B58">
        <v>10778</v>
      </c>
      <c r="C58" t="s">
        <v>42</v>
      </c>
      <c r="D58" s="6">
        <v>43085</v>
      </c>
      <c r="E58" s="6">
        <v>43113</v>
      </c>
      <c r="F58" s="6">
        <v>43093</v>
      </c>
      <c r="G58" s="3" t="s">
        <v>644</v>
      </c>
      <c r="H58" s="3">
        <v>33.950000000000003</v>
      </c>
      <c r="I58" s="3" t="s">
        <v>319</v>
      </c>
      <c r="J58" s="3" t="str">
        <f t="shared" si="0"/>
        <v>Dec</v>
      </c>
      <c r="K58"/>
      <c r="L58"/>
      <c r="M58" s="6"/>
      <c r="N58" s="6"/>
      <c r="O58" s="6"/>
      <c r="P58" s="3"/>
      <c r="Q58" s="3"/>
      <c r="R58" s="3"/>
      <c r="S58" s="3"/>
    </row>
    <row r="59" spans="2:19" s="2" customFormat="1" hidden="1" x14ac:dyDescent="0.25">
      <c r="B59">
        <v>10837</v>
      </c>
      <c r="C59" t="s">
        <v>42</v>
      </c>
      <c r="D59" s="6">
        <v>43116</v>
      </c>
      <c r="E59" s="6">
        <v>43144</v>
      </c>
      <c r="F59" s="6">
        <v>43123</v>
      </c>
      <c r="G59" s="3" t="s">
        <v>646</v>
      </c>
      <c r="H59" s="3">
        <v>66.599999999999994</v>
      </c>
      <c r="I59" s="3" t="s">
        <v>319</v>
      </c>
      <c r="J59" s="3" t="str">
        <f t="shared" si="0"/>
        <v>Jan</v>
      </c>
      <c r="K59"/>
      <c r="L59"/>
      <c r="M59" s="6"/>
      <c r="N59" s="6"/>
      <c r="O59" s="6"/>
      <c r="P59" s="3"/>
      <c r="Q59" s="3"/>
      <c r="R59" s="3"/>
      <c r="S59" s="3"/>
    </row>
    <row r="60" spans="2:19" s="2" customFormat="1" hidden="1" x14ac:dyDescent="0.25">
      <c r="B60">
        <v>10857</v>
      </c>
      <c r="C60" t="s">
        <v>42</v>
      </c>
      <c r="D60" s="6">
        <v>43128</v>
      </c>
      <c r="E60" s="6">
        <v>43156</v>
      </c>
      <c r="F60" s="6">
        <v>43137</v>
      </c>
      <c r="G60" s="3" t="s">
        <v>645</v>
      </c>
      <c r="H60" s="3">
        <v>944.25</v>
      </c>
      <c r="I60" s="3" t="s">
        <v>319</v>
      </c>
      <c r="J60" s="3" t="str">
        <f t="shared" si="0"/>
        <v>Jan</v>
      </c>
      <c r="K60"/>
      <c r="L60"/>
      <c r="M60" s="6"/>
      <c r="N60" s="6"/>
      <c r="O60" s="6"/>
      <c r="P60" s="3"/>
      <c r="Q60" s="3"/>
      <c r="R60" s="3"/>
      <c r="S60" s="3"/>
    </row>
    <row r="61" spans="2:19" s="2" customFormat="1" hidden="1" x14ac:dyDescent="0.25">
      <c r="B61">
        <v>10866</v>
      </c>
      <c r="C61" t="s">
        <v>42</v>
      </c>
      <c r="D61" s="6">
        <v>43134</v>
      </c>
      <c r="E61" s="6">
        <v>43162</v>
      </c>
      <c r="F61" s="6">
        <v>43143</v>
      </c>
      <c r="G61" s="3" t="s">
        <v>644</v>
      </c>
      <c r="H61" s="3">
        <v>545.54999999999995</v>
      </c>
      <c r="I61" s="3" t="s">
        <v>319</v>
      </c>
      <c r="J61" s="3" t="str">
        <f t="shared" si="0"/>
        <v>Feb</v>
      </c>
      <c r="K61"/>
      <c r="L61"/>
      <c r="M61" s="6"/>
      <c r="N61" s="6"/>
      <c r="O61" s="6"/>
      <c r="P61" s="3"/>
      <c r="Q61" s="3"/>
      <c r="R61" s="3"/>
      <c r="S61" s="3"/>
    </row>
    <row r="62" spans="2:19" s="2" customFormat="1" hidden="1" x14ac:dyDescent="0.25">
      <c r="B62">
        <v>10875</v>
      </c>
      <c r="C62" t="s">
        <v>42</v>
      </c>
      <c r="D62" s="6">
        <v>43137</v>
      </c>
      <c r="E62" s="6">
        <v>43165</v>
      </c>
      <c r="F62" s="6">
        <v>43162</v>
      </c>
      <c r="G62" s="3" t="s">
        <v>645</v>
      </c>
      <c r="H62" s="3">
        <v>161.85</v>
      </c>
      <c r="I62" s="3" t="s">
        <v>319</v>
      </c>
      <c r="J62" s="3" t="str">
        <f t="shared" si="0"/>
        <v>Feb</v>
      </c>
      <c r="K62"/>
      <c r="L62"/>
      <c r="M62" s="6"/>
      <c r="N62" s="6"/>
      <c r="O62" s="6"/>
      <c r="P62" s="3"/>
      <c r="Q62" s="3"/>
      <c r="R62" s="3"/>
      <c r="S62" s="3"/>
    </row>
    <row r="63" spans="2:19" s="2" customFormat="1" hidden="1" x14ac:dyDescent="0.25">
      <c r="B63">
        <v>10924</v>
      </c>
      <c r="C63" t="s">
        <v>42</v>
      </c>
      <c r="D63" s="6">
        <v>43163</v>
      </c>
      <c r="E63" s="6">
        <v>43191</v>
      </c>
      <c r="F63" s="6">
        <v>43198</v>
      </c>
      <c r="G63" s="3" t="s">
        <v>645</v>
      </c>
      <c r="H63" s="3">
        <v>757.6</v>
      </c>
      <c r="I63" s="3" t="s">
        <v>319</v>
      </c>
      <c r="J63" s="3" t="str">
        <f t="shared" si="0"/>
        <v>Mar</v>
      </c>
      <c r="K63"/>
      <c r="L63"/>
      <c r="M63" s="6"/>
      <c r="N63" s="6"/>
      <c r="O63" s="6"/>
      <c r="P63" s="3"/>
      <c r="Q63" s="3"/>
      <c r="R63" s="3"/>
      <c r="S63" s="3"/>
    </row>
    <row r="64" spans="2:19" s="2" customFormat="1" hidden="1" x14ac:dyDescent="0.25">
      <c r="B64">
        <v>10501</v>
      </c>
      <c r="C64" t="s">
        <v>46</v>
      </c>
      <c r="D64" s="6">
        <v>42834</v>
      </c>
      <c r="E64" s="6">
        <v>42862</v>
      </c>
      <c r="F64" s="6">
        <v>42841</v>
      </c>
      <c r="G64" s="3" t="s">
        <v>646</v>
      </c>
      <c r="H64" s="3">
        <v>44.25</v>
      </c>
      <c r="I64" s="3" t="s">
        <v>320</v>
      </c>
      <c r="J64" s="3" t="str">
        <f t="shared" si="0"/>
        <v>Apr</v>
      </c>
      <c r="K64"/>
      <c r="L64"/>
      <c r="M64" s="6"/>
      <c r="N64" s="6"/>
      <c r="O64" s="6"/>
      <c r="P64" s="3"/>
      <c r="Q64" s="3"/>
      <c r="R64" s="3"/>
      <c r="S64" s="3"/>
    </row>
    <row r="65" spans="2:19" s="2" customFormat="1" hidden="1" x14ac:dyDescent="0.25">
      <c r="B65">
        <v>10509</v>
      </c>
      <c r="C65" t="s">
        <v>46</v>
      </c>
      <c r="D65" s="6">
        <v>42842</v>
      </c>
      <c r="E65" s="6">
        <v>42870</v>
      </c>
      <c r="F65" s="6">
        <v>42854</v>
      </c>
      <c r="G65" s="3" t="s">
        <v>644</v>
      </c>
      <c r="H65" s="3">
        <v>0.75</v>
      </c>
      <c r="I65" s="3" t="s">
        <v>320</v>
      </c>
      <c r="J65" s="3" t="str">
        <f t="shared" si="0"/>
        <v>Apr</v>
      </c>
      <c r="K65"/>
      <c r="L65"/>
      <c r="M65" s="6"/>
      <c r="N65" s="6"/>
      <c r="O65" s="6"/>
      <c r="P65" s="3"/>
      <c r="Q65" s="3"/>
      <c r="R65" s="3"/>
      <c r="S65" s="3"/>
    </row>
    <row r="66" spans="2:19" s="2" customFormat="1" hidden="1" x14ac:dyDescent="0.25">
      <c r="B66">
        <v>10582</v>
      </c>
      <c r="C66" t="s">
        <v>46</v>
      </c>
      <c r="D66" s="6">
        <v>42913</v>
      </c>
      <c r="E66" s="6">
        <v>42941</v>
      </c>
      <c r="F66" s="6">
        <v>42930</v>
      </c>
      <c r="G66" s="3" t="s">
        <v>645</v>
      </c>
      <c r="H66" s="3">
        <v>138.55000000000001</v>
      </c>
      <c r="I66" s="3" t="s">
        <v>320</v>
      </c>
      <c r="J66" s="3" t="str">
        <f t="shared" si="0"/>
        <v>Jun</v>
      </c>
      <c r="K66"/>
      <c r="L66"/>
      <c r="M66" s="6"/>
      <c r="N66" s="6"/>
      <c r="O66" s="6"/>
      <c r="P66" s="3"/>
      <c r="Q66" s="3"/>
      <c r="R66" s="3"/>
      <c r="S66" s="3"/>
    </row>
    <row r="67" spans="2:19" s="2" customFormat="1" hidden="1" x14ac:dyDescent="0.25">
      <c r="B67">
        <v>10614</v>
      </c>
      <c r="C67" t="s">
        <v>46</v>
      </c>
      <c r="D67" s="6">
        <v>42945</v>
      </c>
      <c r="E67" s="6">
        <v>42973</v>
      </c>
      <c r="F67" s="6">
        <v>42948</v>
      </c>
      <c r="G67" s="3" t="s">
        <v>646</v>
      </c>
      <c r="H67" s="3">
        <v>9.65</v>
      </c>
      <c r="I67" s="3" t="s">
        <v>320</v>
      </c>
      <c r="J67" s="3" t="str">
        <f t="shared" si="0"/>
        <v>Jul</v>
      </c>
      <c r="K67"/>
      <c r="L67"/>
      <c r="M67" s="6"/>
      <c r="N67" s="6"/>
      <c r="O67" s="6"/>
      <c r="P67" s="3"/>
      <c r="Q67" s="3"/>
      <c r="R67" s="3"/>
      <c r="S67" s="3"/>
    </row>
    <row r="68" spans="2:19" s="2" customFormat="1" hidden="1" x14ac:dyDescent="0.25">
      <c r="B68">
        <v>10853</v>
      </c>
      <c r="C68" t="s">
        <v>46</v>
      </c>
      <c r="D68" s="6">
        <v>43127</v>
      </c>
      <c r="E68" s="6">
        <v>43155</v>
      </c>
      <c r="F68" s="6">
        <v>43134</v>
      </c>
      <c r="G68" s="3" t="s">
        <v>645</v>
      </c>
      <c r="H68" s="3">
        <v>269.14999999999998</v>
      </c>
      <c r="I68" s="3" t="s">
        <v>320</v>
      </c>
      <c r="J68" s="3" t="str">
        <f t="shared" si="0"/>
        <v>Jan</v>
      </c>
      <c r="K68"/>
      <c r="L68"/>
      <c r="M68" s="6"/>
      <c r="N68" s="6"/>
      <c r="O68" s="6"/>
      <c r="P68" s="3"/>
      <c r="Q68" s="3"/>
      <c r="R68" s="3"/>
      <c r="S68" s="3"/>
    </row>
    <row r="69" spans="2:19" s="2" customFormat="1" hidden="1" x14ac:dyDescent="0.25">
      <c r="B69">
        <v>10956</v>
      </c>
      <c r="C69" t="s">
        <v>46</v>
      </c>
      <c r="D69" s="6">
        <v>43176</v>
      </c>
      <c r="E69" s="6">
        <v>43218</v>
      </c>
      <c r="F69" s="6">
        <v>43179</v>
      </c>
      <c r="G69" s="3" t="s">
        <v>645</v>
      </c>
      <c r="H69" s="3">
        <v>223.25</v>
      </c>
      <c r="I69" s="3" t="s">
        <v>320</v>
      </c>
      <c r="J69" s="3" t="str">
        <f t="shared" si="0"/>
        <v>Mar</v>
      </c>
      <c r="K69"/>
      <c r="L69"/>
      <c r="M69" s="6"/>
      <c r="N69" s="6"/>
      <c r="O69" s="6"/>
      <c r="P69" s="3"/>
      <c r="Q69" s="3"/>
      <c r="R69" s="3"/>
      <c r="S69" s="3"/>
    </row>
    <row r="70" spans="2:19" s="2" customFormat="1" hidden="1" x14ac:dyDescent="0.25">
      <c r="B70">
        <v>11058</v>
      </c>
      <c r="C70" t="s">
        <v>46</v>
      </c>
      <c r="D70" s="6">
        <v>43219</v>
      </c>
      <c r="E70" s="6">
        <v>43247</v>
      </c>
      <c r="F70" s="6"/>
      <c r="G70" s="3" t="s">
        <v>646</v>
      </c>
      <c r="H70" s="3">
        <v>155.69999999999999</v>
      </c>
      <c r="I70" s="3" t="s">
        <v>320</v>
      </c>
      <c r="J70" s="3" t="str">
        <f t="shared" si="0"/>
        <v>Apr</v>
      </c>
      <c r="K70"/>
      <c r="L70"/>
      <c r="M70" s="6"/>
      <c r="N70" s="6"/>
      <c r="O70" s="6"/>
      <c r="P70" s="3"/>
      <c r="Q70" s="3"/>
      <c r="R70" s="3"/>
      <c r="S70" s="3"/>
    </row>
    <row r="71" spans="2:19" s="2" customFormat="1" hidden="1" x14ac:dyDescent="0.25">
      <c r="B71">
        <v>10265</v>
      </c>
      <c r="C71" t="s">
        <v>49</v>
      </c>
      <c r="D71" s="6">
        <v>42576</v>
      </c>
      <c r="E71" s="6">
        <v>42604</v>
      </c>
      <c r="F71" s="6">
        <v>42594</v>
      </c>
      <c r="G71" s="3" t="s">
        <v>644</v>
      </c>
      <c r="H71" s="3">
        <v>276.39999999999998</v>
      </c>
      <c r="I71" s="3" t="s">
        <v>321</v>
      </c>
      <c r="J71" s="3" t="str">
        <f t="shared" si="0"/>
        <v>Jul</v>
      </c>
      <c r="K71"/>
      <c r="L71"/>
      <c r="M71" s="6"/>
      <c r="N71" s="6"/>
      <c r="O71" s="6"/>
      <c r="P71" s="3"/>
      <c r="Q71" s="3"/>
      <c r="R71" s="3"/>
      <c r="S71" s="3"/>
    </row>
    <row r="72" spans="2:19" s="2" customFormat="1" hidden="1" x14ac:dyDescent="0.25">
      <c r="B72">
        <v>10297</v>
      </c>
      <c r="C72" t="s">
        <v>49</v>
      </c>
      <c r="D72" s="6">
        <v>42617</v>
      </c>
      <c r="E72" s="6">
        <v>42659</v>
      </c>
      <c r="F72" s="6">
        <v>42623</v>
      </c>
      <c r="G72" s="3" t="s">
        <v>645</v>
      </c>
      <c r="H72" s="3">
        <v>28.700000000000003</v>
      </c>
      <c r="I72" s="3" t="s">
        <v>321</v>
      </c>
      <c r="J72" s="3" t="str">
        <f t="shared" si="0"/>
        <v>Sep</v>
      </c>
      <c r="K72"/>
      <c r="L72"/>
      <c r="M72" s="6"/>
      <c r="N72" s="6"/>
      <c r="O72" s="6"/>
      <c r="P72" s="3"/>
      <c r="Q72" s="3"/>
      <c r="R72" s="3"/>
      <c r="S72" s="3"/>
    </row>
    <row r="73" spans="2:19" s="2" customFormat="1" hidden="1" x14ac:dyDescent="0.25">
      <c r="B73">
        <v>10360</v>
      </c>
      <c r="C73" t="s">
        <v>49</v>
      </c>
      <c r="D73" s="6">
        <v>42696</v>
      </c>
      <c r="E73" s="6">
        <v>42724</v>
      </c>
      <c r="F73" s="6">
        <v>42706</v>
      </c>
      <c r="G73" s="3" t="s">
        <v>646</v>
      </c>
      <c r="H73" s="3">
        <v>658.5</v>
      </c>
      <c r="I73" s="3" t="s">
        <v>321</v>
      </c>
      <c r="J73" s="3" t="str">
        <f t="shared" si="0"/>
        <v>Nov</v>
      </c>
      <c r="K73"/>
      <c r="L73"/>
      <c r="M73" s="6"/>
      <c r="N73" s="6"/>
      <c r="O73" s="6"/>
      <c r="P73" s="3"/>
      <c r="Q73" s="3"/>
      <c r="R73" s="3"/>
      <c r="S73" s="3"/>
    </row>
    <row r="74" spans="2:19" s="2" customFormat="1" hidden="1" x14ac:dyDescent="0.25">
      <c r="B74">
        <v>10436</v>
      </c>
      <c r="C74" t="s">
        <v>49</v>
      </c>
      <c r="D74" s="6">
        <v>42771</v>
      </c>
      <c r="E74" s="6">
        <v>42799</v>
      </c>
      <c r="F74" s="6">
        <v>42777</v>
      </c>
      <c r="G74" s="3" t="s">
        <v>645</v>
      </c>
      <c r="H74" s="3">
        <v>783.3</v>
      </c>
      <c r="I74" s="3" t="s">
        <v>321</v>
      </c>
      <c r="J74" s="3" t="str">
        <f t="shared" si="0"/>
        <v>Feb</v>
      </c>
      <c r="K74"/>
      <c r="L74"/>
      <c r="M74" s="6"/>
      <c r="N74" s="6"/>
      <c r="O74" s="6"/>
      <c r="P74" s="3"/>
      <c r="Q74" s="3"/>
      <c r="R74" s="3"/>
      <c r="S74" s="3"/>
    </row>
    <row r="75" spans="2:19" s="2" customFormat="1" hidden="1" x14ac:dyDescent="0.25">
      <c r="B75">
        <v>10449</v>
      </c>
      <c r="C75" t="s">
        <v>49</v>
      </c>
      <c r="D75" s="6">
        <v>42784</v>
      </c>
      <c r="E75" s="6">
        <v>42812</v>
      </c>
      <c r="F75" s="6">
        <v>42793</v>
      </c>
      <c r="G75" s="3" t="s">
        <v>645</v>
      </c>
      <c r="H75" s="3">
        <v>266.5</v>
      </c>
      <c r="I75" s="3" t="s">
        <v>321</v>
      </c>
      <c r="J75" s="3" t="str">
        <f t="shared" si="0"/>
        <v>Feb</v>
      </c>
      <c r="K75"/>
      <c r="L75"/>
      <c r="M75" s="6"/>
      <c r="N75" s="6"/>
      <c r="O75" s="6"/>
      <c r="P75" s="3"/>
      <c r="Q75" s="3"/>
      <c r="R75" s="3"/>
      <c r="S75" s="3"/>
    </row>
    <row r="76" spans="2:19" s="2" customFormat="1" hidden="1" x14ac:dyDescent="0.25">
      <c r="B76">
        <v>10559</v>
      </c>
      <c r="C76" t="s">
        <v>49</v>
      </c>
      <c r="D76" s="6">
        <v>42891</v>
      </c>
      <c r="E76" s="6">
        <v>42919</v>
      </c>
      <c r="F76" s="6">
        <v>42899</v>
      </c>
      <c r="G76" s="3" t="s">
        <v>644</v>
      </c>
      <c r="H76" s="3">
        <v>40.25</v>
      </c>
      <c r="I76" s="3" t="s">
        <v>321</v>
      </c>
      <c r="J76" s="3" t="str">
        <f t="shared" si="0"/>
        <v>Jun</v>
      </c>
      <c r="K76"/>
      <c r="L76"/>
      <c r="M76" s="6"/>
      <c r="N76" s="6"/>
      <c r="O76" s="6"/>
      <c r="P76" s="3"/>
      <c r="Q76" s="3"/>
      <c r="R76" s="3"/>
      <c r="S76" s="3"/>
    </row>
    <row r="77" spans="2:19" s="2" customFormat="1" hidden="1" x14ac:dyDescent="0.25">
      <c r="B77">
        <v>10566</v>
      </c>
      <c r="C77" t="s">
        <v>49</v>
      </c>
      <c r="D77" s="6">
        <v>42898</v>
      </c>
      <c r="E77" s="6">
        <v>42926</v>
      </c>
      <c r="F77" s="6">
        <v>42904</v>
      </c>
      <c r="G77" s="3" t="s">
        <v>644</v>
      </c>
      <c r="H77" s="3">
        <v>442</v>
      </c>
      <c r="I77" s="3" t="s">
        <v>321</v>
      </c>
      <c r="J77" s="3" t="str">
        <f t="shared" si="0"/>
        <v>Jun</v>
      </c>
      <c r="K77"/>
      <c r="L77"/>
      <c r="M77" s="6"/>
      <c r="N77" s="6"/>
      <c r="O77" s="6"/>
      <c r="P77" s="3"/>
      <c r="Q77" s="3"/>
      <c r="R77" s="3"/>
      <c r="S77" s="3"/>
    </row>
    <row r="78" spans="2:19" s="2" customFormat="1" hidden="1" x14ac:dyDescent="0.25">
      <c r="B78">
        <v>10584</v>
      </c>
      <c r="C78" t="s">
        <v>49</v>
      </c>
      <c r="D78" s="6">
        <v>42916</v>
      </c>
      <c r="E78" s="6">
        <v>42944</v>
      </c>
      <c r="F78" s="6">
        <v>42920</v>
      </c>
      <c r="G78" s="3" t="s">
        <v>644</v>
      </c>
      <c r="H78" s="3">
        <v>295.7</v>
      </c>
      <c r="I78" s="3" t="s">
        <v>321</v>
      </c>
      <c r="J78" s="3" t="str">
        <f t="shared" si="0"/>
        <v>Jun</v>
      </c>
      <c r="K78"/>
      <c r="L78"/>
      <c r="M78" s="6"/>
      <c r="N78" s="6"/>
      <c r="O78" s="6"/>
      <c r="P78" s="3"/>
      <c r="Q78" s="3"/>
      <c r="R78" s="3"/>
      <c r="S78" s="3"/>
    </row>
    <row r="79" spans="2:19" s="2" customFormat="1" hidden="1" x14ac:dyDescent="0.25">
      <c r="B79">
        <v>10628</v>
      </c>
      <c r="C79" t="s">
        <v>49</v>
      </c>
      <c r="D79" s="6">
        <v>42959</v>
      </c>
      <c r="E79" s="6">
        <v>42987</v>
      </c>
      <c r="F79" s="6">
        <v>42967</v>
      </c>
      <c r="G79" s="3" t="s">
        <v>646</v>
      </c>
      <c r="H79" s="3">
        <v>151.80000000000001</v>
      </c>
      <c r="I79" s="3" t="s">
        <v>321</v>
      </c>
      <c r="J79" s="3" t="str">
        <f t="shared" si="0"/>
        <v>Aug</v>
      </c>
      <c r="K79"/>
      <c r="L79"/>
      <c r="M79" s="6"/>
      <c r="N79" s="6"/>
      <c r="O79" s="6"/>
      <c r="P79" s="3"/>
      <c r="Q79" s="3"/>
      <c r="R79" s="3"/>
      <c r="S79" s="3"/>
    </row>
    <row r="80" spans="2:19" s="2" customFormat="1" hidden="1" x14ac:dyDescent="0.25">
      <c r="B80">
        <v>10679</v>
      </c>
      <c r="C80" t="s">
        <v>49</v>
      </c>
      <c r="D80" s="6">
        <v>43001</v>
      </c>
      <c r="E80" s="6">
        <v>43029</v>
      </c>
      <c r="F80" s="6">
        <v>43008</v>
      </c>
      <c r="G80" s="3" t="s">
        <v>646</v>
      </c>
      <c r="H80" s="3">
        <v>139.70000000000002</v>
      </c>
      <c r="I80" s="3" t="s">
        <v>321</v>
      </c>
      <c r="J80" s="3" t="str">
        <f t="shared" si="0"/>
        <v>Sep</v>
      </c>
      <c r="K80"/>
      <c r="L80"/>
      <c r="M80" s="6"/>
      <c r="N80" s="6"/>
      <c r="O80" s="6"/>
      <c r="P80" s="3"/>
      <c r="Q80" s="3"/>
      <c r="R80" s="3"/>
      <c r="S80" s="3"/>
    </row>
    <row r="81" spans="2:19" s="2" customFormat="1" hidden="1" x14ac:dyDescent="0.25">
      <c r="B81">
        <v>10826</v>
      </c>
      <c r="C81" t="s">
        <v>49</v>
      </c>
      <c r="D81" s="6">
        <v>43112</v>
      </c>
      <c r="E81" s="6">
        <v>43140</v>
      </c>
      <c r="F81" s="6">
        <v>43137</v>
      </c>
      <c r="G81" s="3" t="s">
        <v>644</v>
      </c>
      <c r="H81" s="3">
        <v>35.450000000000003</v>
      </c>
      <c r="I81" s="3" t="s">
        <v>321</v>
      </c>
      <c r="J81" s="3" t="str">
        <f t="shared" ref="J81:J144" si="1">TEXT(D81,"mmm")</f>
        <v>Jan</v>
      </c>
      <c r="K81"/>
      <c r="L81"/>
      <c r="M81" s="6"/>
      <c r="N81" s="6"/>
      <c r="O81" s="6"/>
      <c r="P81" s="3"/>
      <c r="Q81" s="3"/>
      <c r="R81" s="3"/>
      <c r="S81" s="3"/>
    </row>
    <row r="82" spans="2:19" s="2" customFormat="1" hidden="1" x14ac:dyDescent="0.25">
      <c r="B82">
        <v>10326</v>
      </c>
      <c r="C82" t="s">
        <v>53</v>
      </c>
      <c r="D82" s="6">
        <v>42653</v>
      </c>
      <c r="E82" s="6">
        <v>42681</v>
      </c>
      <c r="F82" s="6">
        <v>42657</v>
      </c>
      <c r="G82" s="3" t="s">
        <v>645</v>
      </c>
      <c r="H82" s="3">
        <v>389.6</v>
      </c>
      <c r="I82" s="3" t="s">
        <v>322</v>
      </c>
      <c r="J82" s="3" t="str">
        <f t="shared" si="1"/>
        <v>Oct</v>
      </c>
      <c r="K82"/>
      <c r="L82"/>
      <c r="M82" s="6"/>
      <c r="N82" s="6"/>
      <c r="O82" s="6"/>
      <c r="P82" s="3"/>
      <c r="Q82" s="3"/>
      <c r="R82" s="3"/>
      <c r="S82" s="3"/>
    </row>
    <row r="83" spans="2:19" s="2" customFormat="1" hidden="1" x14ac:dyDescent="0.25">
      <c r="B83">
        <v>10801</v>
      </c>
      <c r="C83" t="s">
        <v>53</v>
      </c>
      <c r="D83" s="6">
        <v>43098</v>
      </c>
      <c r="E83" s="6">
        <v>43126</v>
      </c>
      <c r="F83" s="6">
        <v>43100</v>
      </c>
      <c r="G83" s="3" t="s">
        <v>645</v>
      </c>
      <c r="H83" s="3">
        <v>485.45000000000005</v>
      </c>
      <c r="I83" s="3" t="s">
        <v>322</v>
      </c>
      <c r="J83" s="3" t="str">
        <f t="shared" si="1"/>
        <v>Dec</v>
      </c>
      <c r="K83"/>
      <c r="L83"/>
      <c r="M83" s="6"/>
      <c r="N83" s="6"/>
      <c r="O83" s="6"/>
      <c r="P83" s="3"/>
      <c r="Q83" s="3"/>
      <c r="R83" s="3"/>
      <c r="S83" s="3"/>
    </row>
    <row r="84" spans="2:19" s="2" customFormat="1" hidden="1" x14ac:dyDescent="0.25">
      <c r="B84">
        <v>10970</v>
      </c>
      <c r="C84" t="s">
        <v>53</v>
      </c>
      <c r="D84" s="6">
        <v>43183</v>
      </c>
      <c r="E84" s="6">
        <v>43197</v>
      </c>
      <c r="F84" s="6">
        <v>43214</v>
      </c>
      <c r="G84" s="3" t="s">
        <v>644</v>
      </c>
      <c r="H84" s="3">
        <v>80.8</v>
      </c>
      <c r="I84" s="3" t="s">
        <v>322</v>
      </c>
      <c r="J84" s="3" t="str">
        <f t="shared" si="1"/>
        <v>Mar</v>
      </c>
      <c r="K84"/>
      <c r="L84"/>
      <c r="M84" s="6"/>
      <c r="N84" s="6"/>
      <c r="O84" s="6"/>
      <c r="P84" s="3"/>
      <c r="Q84" s="3"/>
      <c r="R84" s="3"/>
      <c r="S84" s="3"/>
    </row>
    <row r="85" spans="2:19" s="2" customFormat="1" hidden="1" x14ac:dyDescent="0.25">
      <c r="B85">
        <v>10331</v>
      </c>
      <c r="C85" t="s">
        <v>56</v>
      </c>
      <c r="D85" s="6">
        <v>42659</v>
      </c>
      <c r="E85" s="6">
        <v>42701</v>
      </c>
      <c r="F85" s="6">
        <v>42664</v>
      </c>
      <c r="G85" s="3" t="s">
        <v>644</v>
      </c>
      <c r="H85" s="3">
        <v>50.949999999999996</v>
      </c>
      <c r="I85" s="3" t="s">
        <v>324</v>
      </c>
      <c r="J85" s="3" t="str">
        <f t="shared" si="1"/>
        <v>Oct</v>
      </c>
      <c r="K85"/>
      <c r="L85"/>
      <c r="M85" s="6"/>
      <c r="N85" s="6"/>
      <c r="O85" s="6"/>
      <c r="P85" s="3"/>
      <c r="Q85" s="3"/>
      <c r="R85" s="3"/>
      <c r="S85" s="3"/>
    </row>
    <row r="86" spans="2:19" s="2" customFormat="1" hidden="1" x14ac:dyDescent="0.25">
      <c r="B86">
        <v>10340</v>
      </c>
      <c r="C86" t="s">
        <v>56</v>
      </c>
      <c r="D86" s="6">
        <v>42672</v>
      </c>
      <c r="E86" s="6">
        <v>42700</v>
      </c>
      <c r="F86" s="6">
        <v>42682</v>
      </c>
      <c r="G86" s="3" t="s">
        <v>646</v>
      </c>
      <c r="H86" s="3">
        <v>831.55</v>
      </c>
      <c r="I86" s="3" t="s">
        <v>324</v>
      </c>
      <c r="J86" s="3" t="str">
        <f t="shared" si="1"/>
        <v>Oct</v>
      </c>
      <c r="K86"/>
      <c r="L86"/>
      <c r="M86" s="6"/>
      <c r="N86" s="6"/>
      <c r="O86" s="6"/>
      <c r="P86" s="3"/>
      <c r="Q86" s="3"/>
      <c r="R86" s="3"/>
      <c r="S86" s="3"/>
    </row>
    <row r="87" spans="2:19" s="2" customFormat="1" hidden="1" x14ac:dyDescent="0.25">
      <c r="B87">
        <v>10362</v>
      </c>
      <c r="C87" t="s">
        <v>56</v>
      </c>
      <c r="D87" s="6">
        <v>42699</v>
      </c>
      <c r="E87" s="6">
        <v>42727</v>
      </c>
      <c r="F87" s="6">
        <v>42702</v>
      </c>
      <c r="G87" s="3" t="s">
        <v>644</v>
      </c>
      <c r="H87" s="3">
        <v>480.20000000000005</v>
      </c>
      <c r="I87" s="3" t="s">
        <v>324</v>
      </c>
      <c r="J87" s="3" t="str">
        <f t="shared" si="1"/>
        <v>Nov</v>
      </c>
      <c r="K87"/>
      <c r="L87"/>
      <c r="M87" s="6"/>
      <c r="N87" s="6"/>
      <c r="O87" s="6"/>
      <c r="P87" s="3"/>
      <c r="Q87" s="3"/>
      <c r="R87" s="3"/>
      <c r="S87" s="3"/>
    </row>
    <row r="88" spans="2:19" s="2" customFormat="1" hidden="1" x14ac:dyDescent="0.25">
      <c r="B88">
        <v>10470</v>
      </c>
      <c r="C88" t="s">
        <v>56</v>
      </c>
      <c r="D88" s="6">
        <v>42805</v>
      </c>
      <c r="E88" s="6">
        <v>42833</v>
      </c>
      <c r="F88" s="6">
        <v>42808</v>
      </c>
      <c r="G88" s="3" t="s">
        <v>645</v>
      </c>
      <c r="H88" s="3">
        <v>322.8</v>
      </c>
      <c r="I88" s="3" t="s">
        <v>324</v>
      </c>
      <c r="J88" s="3" t="str">
        <f t="shared" si="1"/>
        <v>Mar</v>
      </c>
      <c r="K88"/>
      <c r="L88"/>
      <c r="M88" s="6"/>
      <c r="N88" s="6"/>
      <c r="O88" s="6"/>
      <c r="P88" s="3"/>
      <c r="Q88" s="3"/>
      <c r="R88" s="3"/>
      <c r="S88" s="3"/>
    </row>
    <row r="89" spans="2:19" s="2" customFormat="1" hidden="1" x14ac:dyDescent="0.25">
      <c r="B89">
        <v>10511</v>
      </c>
      <c r="C89" t="s">
        <v>56</v>
      </c>
      <c r="D89" s="6">
        <v>42843</v>
      </c>
      <c r="E89" s="6">
        <v>42871</v>
      </c>
      <c r="F89" s="6">
        <v>42846</v>
      </c>
      <c r="G89" s="3" t="s">
        <v>646</v>
      </c>
      <c r="H89" s="3">
        <v>1753.1999999999998</v>
      </c>
      <c r="I89" s="3" t="s">
        <v>324</v>
      </c>
      <c r="J89" s="3" t="str">
        <f t="shared" si="1"/>
        <v>Apr</v>
      </c>
      <c r="K89"/>
      <c r="L89"/>
      <c r="M89" s="6"/>
      <c r="N89" s="6"/>
      <c r="O89" s="6"/>
      <c r="P89" s="3"/>
      <c r="Q89" s="3"/>
      <c r="R89" s="3"/>
      <c r="S89" s="3"/>
    </row>
    <row r="90" spans="2:19" s="2" customFormat="1" hidden="1" x14ac:dyDescent="0.25">
      <c r="B90">
        <v>10525</v>
      </c>
      <c r="C90" t="s">
        <v>56</v>
      </c>
      <c r="D90" s="6">
        <v>42857</v>
      </c>
      <c r="E90" s="6">
        <v>42885</v>
      </c>
      <c r="F90" s="6">
        <v>42878</v>
      </c>
      <c r="G90" s="3" t="s">
        <v>645</v>
      </c>
      <c r="H90" s="3">
        <v>55.300000000000004</v>
      </c>
      <c r="I90" s="3" t="s">
        <v>324</v>
      </c>
      <c r="J90" s="3" t="str">
        <f t="shared" si="1"/>
        <v>May</v>
      </c>
      <c r="K90"/>
      <c r="L90"/>
      <c r="M90" s="6"/>
      <c r="N90" s="6"/>
      <c r="O90" s="6"/>
      <c r="P90" s="3"/>
      <c r="Q90" s="3"/>
      <c r="R90" s="3"/>
      <c r="S90" s="3"/>
    </row>
    <row r="91" spans="2:19" s="2" customFormat="1" hidden="1" x14ac:dyDescent="0.25">
      <c r="B91">
        <v>10663</v>
      </c>
      <c r="C91" t="s">
        <v>56</v>
      </c>
      <c r="D91" s="6">
        <v>42988</v>
      </c>
      <c r="E91" s="6">
        <v>43002</v>
      </c>
      <c r="F91" s="6">
        <v>43011</v>
      </c>
      <c r="G91" s="3" t="s">
        <v>645</v>
      </c>
      <c r="H91" s="3">
        <v>565.75</v>
      </c>
      <c r="I91" s="3" t="s">
        <v>324</v>
      </c>
      <c r="J91" s="3" t="str">
        <f t="shared" si="1"/>
        <v>Sep</v>
      </c>
      <c r="K91"/>
      <c r="L91"/>
      <c r="M91" s="6"/>
      <c r="N91" s="6"/>
      <c r="O91" s="6"/>
      <c r="P91" s="3"/>
      <c r="Q91" s="3"/>
      <c r="R91" s="3"/>
      <c r="S91" s="3"/>
    </row>
    <row r="92" spans="2:19" s="2" customFormat="1" hidden="1" x14ac:dyDescent="0.25">
      <c r="B92">
        <v>10715</v>
      </c>
      <c r="C92" t="s">
        <v>56</v>
      </c>
      <c r="D92" s="6">
        <v>43031</v>
      </c>
      <c r="E92" s="6">
        <v>43045</v>
      </c>
      <c r="F92" s="6">
        <v>43037</v>
      </c>
      <c r="G92" s="3" t="s">
        <v>644</v>
      </c>
      <c r="H92" s="3">
        <v>316</v>
      </c>
      <c r="I92" s="3" t="s">
        <v>324</v>
      </c>
      <c r="J92" s="3" t="str">
        <f t="shared" si="1"/>
        <v>Oct</v>
      </c>
      <c r="K92"/>
      <c r="L92"/>
      <c r="M92" s="6"/>
      <c r="N92" s="6"/>
      <c r="O92" s="6"/>
      <c r="P92" s="3"/>
      <c r="Q92" s="3"/>
      <c r="R92" s="3"/>
      <c r="S92" s="3"/>
    </row>
    <row r="93" spans="2:19" s="2" customFormat="1" hidden="1" x14ac:dyDescent="0.25">
      <c r="B93">
        <v>10730</v>
      </c>
      <c r="C93" t="s">
        <v>56</v>
      </c>
      <c r="D93" s="6">
        <v>43044</v>
      </c>
      <c r="E93" s="6">
        <v>43072</v>
      </c>
      <c r="F93" s="6">
        <v>43053</v>
      </c>
      <c r="G93" s="3" t="s">
        <v>644</v>
      </c>
      <c r="H93" s="3">
        <v>100.60000000000001</v>
      </c>
      <c r="I93" s="3" t="s">
        <v>324</v>
      </c>
      <c r="J93" s="3" t="str">
        <f t="shared" si="1"/>
        <v>Nov</v>
      </c>
      <c r="K93"/>
      <c r="L93"/>
      <c r="M93" s="6"/>
      <c r="N93" s="6"/>
      <c r="O93" s="6"/>
      <c r="P93" s="3"/>
      <c r="Q93" s="3"/>
      <c r="R93" s="3"/>
      <c r="S93" s="3"/>
    </row>
    <row r="94" spans="2:19" s="2" customFormat="1" hidden="1" x14ac:dyDescent="0.25">
      <c r="B94">
        <v>10732</v>
      </c>
      <c r="C94" t="s">
        <v>56</v>
      </c>
      <c r="D94" s="6">
        <v>43045</v>
      </c>
      <c r="E94" s="6">
        <v>43073</v>
      </c>
      <c r="F94" s="6">
        <v>43046</v>
      </c>
      <c r="G94" s="3" t="s">
        <v>644</v>
      </c>
      <c r="H94" s="3">
        <v>84.85</v>
      </c>
      <c r="I94" s="3" t="s">
        <v>324</v>
      </c>
      <c r="J94" s="3" t="str">
        <f t="shared" si="1"/>
        <v>Nov</v>
      </c>
      <c r="K94"/>
      <c r="L94"/>
      <c r="M94" s="6"/>
      <c r="N94" s="6"/>
      <c r="O94" s="6"/>
      <c r="P94" s="3"/>
      <c r="Q94" s="3"/>
      <c r="R94" s="3"/>
      <c r="S94" s="3"/>
    </row>
    <row r="95" spans="2:19" s="2" customFormat="1" hidden="1" x14ac:dyDescent="0.25">
      <c r="B95">
        <v>10755</v>
      </c>
      <c r="C95" t="s">
        <v>56</v>
      </c>
      <c r="D95" s="6">
        <v>43065</v>
      </c>
      <c r="E95" s="6">
        <v>43093</v>
      </c>
      <c r="F95" s="6">
        <v>43067</v>
      </c>
      <c r="G95" s="3" t="s">
        <v>645</v>
      </c>
      <c r="H95" s="3">
        <v>83.550000000000011</v>
      </c>
      <c r="I95" s="3" t="s">
        <v>324</v>
      </c>
      <c r="J95" s="3" t="str">
        <f t="shared" si="1"/>
        <v>Nov</v>
      </c>
      <c r="K95"/>
      <c r="L95"/>
      <c r="M95" s="6"/>
      <c r="N95" s="6"/>
      <c r="O95" s="6"/>
      <c r="P95" s="3"/>
      <c r="Q95" s="3"/>
      <c r="R95" s="3"/>
      <c r="S95" s="3"/>
    </row>
    <row r="96" spans="2:19" s="2" customFormat="1" hidden="1" x14ac:dyDescent="0.25">
      <c r="B96">
        <v>10827</v>
      </c>
      <c r="C96" t="s">
        <v>56</v>
      </c>
      <c r="D96" s="6">
        <v>43112</v>
      </c>
      <c r="E96" s="6">
        <v>43126</v>
      </c>
      <c r="F96" s="6">
        <v>43137</v>
      </c>
      <c r="G96" s="3" t="s">
        <v>645</v>
      </c>
      <c r="H96" s="3">
        <v>317.7</v>
      </c>
      <c r="I96" s="3" t="s">
        <v>324</v>
      </c>
      <c r="J96" s="3" t="str">
        <f t="shared" si="1"/>
        <v>Jan</v>
      </c>
      <c r="K96"/>
      <c r="L96"/>
      <c r="M96" s="6"/>
      <c r="N96" s="6"/>
      <c r="O96" s="6"/>
      <c r="P96" s="3"/>
      <c r="Q96" s="3"/>
      <c r="R96" s="3"/>
      <c r="S96" s="3"/>
    </row>
    <row r="97" spans="2:19" s="2" customFormat="1" hidden="1" x14ac:dyDescent="0.25">
      <c r="B97">
        <v>10871</v>
      </c>
      <c r="C97" t="s">
        <v>56</v>
      </c>
      <c r="D97" s="6">
        <v>43136</v>
      </c>
      <c r="E97" s="6">
        <v>43164</v>
      </c>
      <c r="F97" s="6">
        <v>43141</v>
      </c>
      <c r="G97" s="3" t="s">
        <v>645</v>
      </c>
      <c r="H97" s="3">
        <v>561.35</v>
      </c>
      <c r="I97" s="3" t="s">
        <v>324</v>
      </c>
      <c r="J97" s="3" t="str">
        <f t="shared" si="1"/>
        <v>Feb</v>
      </c>
      <c r="K97"/>
      <c r="L97"/>
      <c r="M97" s="6"/>
      <c r="N97" s="6"/>
      <c r="O97" s="6"/>
      <c r="P97" s="3"/>
      <c r="Q97" s="3"/>
      <c r="R97" s="3"/>
      <c r="S97" s="3"/>
    </row>
    <row r="98" spans="2:19" s="2" customFormat="1" hidden="1" x14ac:dyDescent="0.25">
      <c r="B98">
        <v>10876</v>
      </c>
      <c r="C98" t="s">
        <v>56</v>
      </c>
      <c r="D98" s="6">
        <v>43140</v>
      </c>
      <c r="E98" s="6">
        <v>43168</v>
      </c>
      <c r="F98" s="6">
        <v>43143</v>
      </c>
      <c r="G98" s="3" t="s">
        <v>646</v>
      </c>
      <c r="H98" s="3">
        <v>302.10000000000002</v>
      </c>
      <c r="I98" s="3" t="s">
        <v>324</v>
      </c>
      <c r="J98" s="3" t="str">
        <f t="shared" si="1"/>
        <v>Feb</v>
      </c>
      <c r="K98"/>
      <c r="L98"/>
      <c r="M98" s="6"/>
      <c r="N98" s="6"/>
      <c r="O98" s="6"/>
      <c r="P98" s="3"/>
      <c r="Q98" s="3"/>
      <c r="R98" s="3"/>
      <c r="S98" s="3"/>
    </row>
    <row r="99" spans="2:19" s="2" customFormat="1" hidden="1" x14ac:dyDescent="0.25">
      <c r="B99">
        <v>10932</v>
      </c>
      <c r="C99" t="s">
        <v>56</v>
      </c>
      <c r="D99" s="6">
        <v>43165</v>
      </c>
      <c r="E99" s="6">
        <v>43193</v>
      </c>
      <c r="F99" s="6">
        <v>43183</v>
      </c>
      <c r="G99" s="3" t="s">
        <v>644</v>
      </c>
      <c r="H99" s="3">
        <v>673.19999999999993</v>
      </c>
      <c r="I99" s="3" t="s">
        <v>324</v>
      </c>
      <c r="J99" s="3" t="str">
        <f t="shared" si="1"/>
        <v>Mar</v>
      </c>
      <c r="K99"/>
      <c r="L99"/>
      <c r="M99" s="6"/>
      <c r="N99" s="6"/>
      <c r="O99" s="6"/>
      <c r="P99" s="3"/>
      <c r="Q99" s="3"/>
      <c r="R99" s="3"/>
      <c r="S99" s="3"/>
    </row>
    <row r="100" spans="2:19" s="2" customFormat="1" hidden="1" x14ac:dyDescent="0.25">
      <c r="B100">
        <v>10940</v>
      </c>
      <c r="C100" t="s">
        <v>56</v>
      </c>
      <c r="D100" s="6">
        <v>43170</v>
      </c>
      <c r="E100" s="6">
        <v>43198</v>
      </c>
      <c r="F100" s="6">
        <v>43182</v>
      </c>
      <c r="G100" s="3" t="s">
        <v>646</v>
      </c>
      <c r="H100" s="3">
        <v>98.85</v>
      </c>
      <c r="I100" s="3" t="s">
        <v>324</v>
      </c>
      <c r="J100" s="3" t="str">
        <f t="shared" si="1"/>
        <v>Mar</v>
      </c>
      <c r="K100"/>
      <c r="L100"/>
      <c r="M100" s="6"/>
      <c r="N100" s="6"/>
      <c r="O100" s="6"/>
      <c r="P100" s="3"/>
      <c r="Q100" s="3"/>
      <c r="R100" s="3"/>
      <c r="S100" s="3"/>
    </row>
    <row r="101" spans="2:19" s="2" customFormat="1" hidden="1" x14ac:dyDescent="0.25">
      <c r="B101">
        <v>11076</v>
      </c>
      <c r="C101" t="s">
        <v>56</v>
      </c>
      <c r="D101" s="6">
        <v>43226</v>
      </c>
      <c r="E101" s="6">
        <v>43254</v>
      </c>
      <c r="F101" s="6"/>
      <c r="G101" s="3" t="s">
        <v>645</v>
      </c>
      <c r="H101" s="3">
        <v>191.4</v>
      </c>
      <c r="I101" s="3" t="s">
        <v>324</v>
      </c>
      <c r="J101" s="3" t="str">
        <f t="shared" si="1"/>
        <v>May</v>
      </c>
      <c r="K101"/>
      <c r="L101"/>
      <c r="M101" s="6"/>
      <c r="N101" s="6"/>
      <c r="O101" s="6"/>
      <c r="P101" s="3"/>
      <c r="Q101" s="3"/>
      <c r="R101" s="3"/>
      <c r="S101" s="3"/>
    </row>
    <row r="102" spans="2:19" s="2" customFormat="1" hidden="1" x14ac:dyDescent="0.25">
      <c r="B102">
        <v>10389</v>
      </c>
      <c r="C102" t="s">
        <v>59</v>
      </c>
      <c r="D102" s="6">
        <v>42724</v>
      </c>
      <c r="E102" s="6">
        <v>42752</v>
      </c>
      <c r="F102" s="6">
        <v>42728</v>
      </c>
      <c r="G102" s="3" t="s">
        <v>645</v>
      </c>
      <c r="H102" s="3">
        <v>237.10000000000002</v>
      </c>
      <c r="I102" s="3" t="s">
        <v>323</v>
      </c>
      <c r="J102" s="3" t="str">
        <f t="shared" si="1"/>
        <v>Dec</v>
      </c>
      <c r="K102"/>
      <c r="L102"/>
      <c r="M102" s="6"/>
      <c r="N102" s="6"/>
      <c r="O102" s="6"/>
      <c r="P102" s="3"/>
      <c r="Q102" s="3"/>
      <c r="R102" s="3"/>
      <c r="S102" s="3"/>
    </row>
    <row r="103" spans="2:19" s="2" customFormat="1" hidden="1" x14ac:dyDescent="0.25">
      <c r="B103">
        <v>10410</v>
      </c>
      <c r="C103" t="s">
        <v>59</v>
      </c>
      <c r="D103" s="6">
        <v>42745</v>
      </c>
      <c r="E103" s="6">
        <v>42773</v>
      </c>
      <c r="F103" s="6">
        <v>42750</v>
      </c>
      <c r="G103" s="3" t="s">
        <v>646</v>
      </c>
      <c r="H103" s="3">
        <v>12</v>
      </c>
      <c r="I103" s="3" t="s">
        <v>323</v>
      </c>
      <c r="J103" s="3" t="str">
        <f t="shared" si="1"/>
        <v>Jan</v>
      </c>
      <c r="K103"/>
      <c r="L103"/>
      <c r="M103" s="6"/>
      <c r="N103" s="6"/>
      <c r="O103" s="6"/>
      <c r="P103" s="3"/>
      <c r="Q103" s="3"/>
      <c r="R103" s="3"/>
      <c r="S103" s="3"/>
    </row>
    <row r="104" spans="2:19" s="2" customFormat="1" hidden="1" x14ac:dyDescent="0.25">
      <c r="B104">
        <v>10411</v>
      </c>
      <c r="C104" t="s">
        <v>59</v>
      </c>
      <c r="D104" s="6">
        <v>42745</v>
      </c>
      <c r="E104" s="6">
        <v>42773</v>
      </c>
      <c r="F104" s="6">
        <v>42756</v>
      </c>
      <c r="G104" s="3" t="s">
        <v>646</v>
      </c>
      <c r="H104" s="3">
        <v>118.25</v>
      </c>
      <c r="I104" s="3" t="s">
        <v>323</v>
      </c>
      <c r="J104" s="3" t="str">
        <f t="shared" si="1"/>
        <v>Jan</v>
      </c>
      <c r="K104"/>
      <c r="L104"/>
      <c r="M104" s="6"/>
      <c r="N104" s="6"/>
      <c r="O104" s="6"/>
      <c r="P104" s="3"/>
      <c r="Q104" s="3"/>
      <c r="R104" s="3"/>
      <c r="S104" s="3"/>
    </row>
    <row r="105" spans="2:19" s="2" customFormat="1" hidden="1" x14ac:dyDescent="0.25">
      <c r="B105">
        <v>10431</v>
      </c>
      <c r="C105" t="s">
        <v>59</v>
      </c>
      <c r="D105" s="6">
        <v>42765</v>
      </c>
      <c r="E105" s="6">
        <v>42779</v>
      </c>
      <c r="F105" s="6">
        <v>42773</v>
      </c>
      <c r="G105" s="3" t="s">
        <v>645</v>
      </c>
      <c r="H105" s="3">
        <v>220.85000000000002</v>
      </c>
      <c r="I105" s="3" t="s">
        <v>323</v>
      </c>
      <c r="J105" s="3" t="str">
        <f t="shared" si="1"/>
        <v>Jan</v>
      </c>
      <c r="K105"/>
      <c r="L105"/>
      <c r="M105" s="6"/>
      <c r="N105" s="6"/>
      <c r="O105" s="6"/>
      <c r="P105" s="3"/>
      <c r="Q105" s="3"/>
      <c r="R105" s="3"/>
      <c r="S105" s="3"/>
    </row>
    <row r="106" spans="2:19" s="2" customFormat="1" hidden="1" x14ac:dyDescent="0.25">
      <c r="B106">
        <v>10492</v>
      </c>
      <c r="C106" t="s">
        <v>59</v>
      </c>
      <c r="D106" s="6">
        <v>42826</v>
      </c>
      <c r="E106" s="6">
        <v>42854</v>
      </c>
      <c r="F106" s="6">
        <v>42836</v>
      </c>
      <c r="G106" s="3" t="s">
        <v>644</v>
      </c>
      <c r="H106" s="3">
        <v>314.45</v>
      </c>
      <c r="I106" s="3" t="s">
        <v>323</v>
      </c>
      <c r="J106" s="3" t="str">
        <f t="shared" si="1"/>
        <v>Apr</v>
      </c>
      <c r="K106"/>
      <c r="L106"/>
      <c r="M106" s="6"/>
      <c r="N106" s="6"/>
      <c r="O106" s="6"/>
      <c r="P106" s="3"/>
      <c r="Q106" s="3"/>
      <c r="R106" s="3"/>
      <c r="S106" s="3"/>
    </row>
    <row r="107" spans="2:19" s="2" customFormat="1" hidden="1" x14ac:dyDescent="0.25">
      <c r="B107">
        <v>10742</v>
      </c>
      <c r="C107" t="s">
        <v>59</v>
      </c>
      <c r="D107" s="6">
        <v>43053</v>
      </c>
      <c r="E107" s="6">
        <v>43081</v>
      </c>
      <c r="F107" s="6">
        <v>43057</v>
      </c>
      <c r="G107" s="3" t="s">
        <v>646</v>
      </c>
      <c r="H107" s="3">
        <v>1218.6499999999999</v>
      </c>
      <c r="I107" s="3" t="s">
        <v>323</v>
      </c>
      <c r="J107" s="3" t="str">
        <f t="shared" si="1"/>
        <v>Nov</v>
      </c>
      <c r="K107"/>
      <c r="L107"/>
      <c r="M107" s="6"/>
      <c r="N107" s="6"/>
      <c r="O107" s="6"/>
      <c r="P107" s="3"/>
      <c r="Q107" s="3"/>
      <c r="R107" s="3"/>
      <c r="S107" s="3"/>
    </row>
    <row r="108" spans="2:19" s="2" customFormat="1" hidden="1" x14ac:dyDescent="0.25">
      <c r="B108">
        <v>10918</v>
      </c>
      <c r="C108" t="s">
        <v>59</v>
      </c>
      <c r="D108" s="6">
        <v>43161</v>
      </c>
      <c r="E108" s="6">
        <v>43189</v>
      </c>
      <c r="F108" s="6">
        <v>43170</v>
      </c>
      <c r="G108" s="3" t="s">
        <v>646</v>
      </c>
      <c r="H108" s="3">
        <v>244.14999999999998</v>
      </c>
      <c r="I108" s="3" t="s">
        <v>323</v>
      </c>
      <c r="J108" s="3" t="str">
        <f t="shared" si="1"/>
        <v>Mar</v>
      </c>
      <c r="K108"/>
      <c r="L108"/>
      <c r="M108" s="6"/>
      <c r="N108" s="6"/>
      <c r="O108" s="6"/>
      <c r="P108" s="3"/>
      <c r="Q108" s="3"/>
      <c r="R108" s="3"/>
      <c r="S108" s="3"/>
    </row>
    <row r="109" spans="2:19" s="2" customFormat="1" hidden="1" x14ac:dyDescent="0.25">
      <c r="B109">
        <v>10944</v>
      </c>
      <c r="C109" t="s">
        <v>59</v>
      </c>
      <c r="D109" s="6">
        <v>43171</v>
      </c>
      <c r="E109" s="6">
        <v>43185</v>
      </c>
      <c r="F109" s="6">
        <v>43172</v>
      </c>
      <c r="G109" s="3" t="s">
        <v>646</v>
      </c>
      <c r="H109" s="3">
        <v>264.60000000000002</v>
      </c>
      <c r="I109" s="3" t="s">
        <v>323</v>
      </c>
      <c r="J109" s="3" t="str">
        <f t="shared" si="1"/>
        <v>Mar</v>
      </c>
      <c r="K109"/>
      <c r="L109"/>
      <c r="M109" s="6"/>
      <c r="N109" s="6"/>
      <c r="O109" s="6"/>
      <c r="P109" s="3"/>
      <c r="Q109" s="3"/>
      <c r="R109" s="3"/>
      <c r="S109" s="3"/>
    </row>
    <row r="110" spans="2:19" s="2" customFormat="1" hidden="1" x14ac:dyDescent="0.25">
      <c r="B110">
        <v>10949</v>
      </c>
      <c r="C110" t="s">
        <v>59</v>
      </c>
      <c r="D110" s="6">
        <v>43172</v>
      </c>
      <c r="E110" s="6">
        <v>43200</v>
      </c>
      <c r="F110" s="6">
        <v>43176</v>
      </c>
      <c r="G110" s="3" t="s">
        <v>646</v>
      </c>
      <c r="H110" s="3">
        <v>372.2</v>
      </c>
      <c r="I110" s="3" t="s">
        <v>323</v>
      </c>
      <c r="J110" s="3" t="str">
        <f t="shared" si="1"/>
        <v>Mar</v>
      </c>
      <c r="K110"/>
      <c r="L110"/>
      <c r="M110" s="6"/>
      <c r="N110" s="6"/>
      <c r="O110" s="6"/>
      <c r="P110" s="3"/>
      <c r="Q110" s="3"/>
      <c r="R110" s="3"/>
      <c r="S110" s="3"/>
    </row>
    <row r="111" spans="2:19" s="2" customFormat="1" hidden="1" x14ac:dyDescent="0.25">
      <c r="B111">
        <v>10975</v>
      </c>
      <c r="C111" t="s">
        <v>59</v>
      </c>
      <c r="D111" s="6">
        <v>43184</v>
      </c>
      <c r="E111" s="6">
        <v>43212</v>
      </c>
      <c r="F111" s="6">
        <v>43186</v>
      </c>
      <c r="G111" s="3" t="s">
        <v>646</v>
      </c>
      <c r="H111" s="3">
        <v>161.35000000000002</v>
      </c>
      <c r="I111" s="3" t="s">
        <v>323</v>
      </c>
      <c r="J111" s="3" t="str">
        <f t="shared" si="1"/>
        <v>Mar</v>
      </c>
      <c r="K111"/>
      <c r="L111"/>
      <c r="M111" s="6"/>
      <c r="N111" s="6"/>
      <c r="O111" s="6"/>
      <c r="P111" s="3"/>
      <c r="Q111" s="3"/>
      <c r="R111" s="3"/>
      <c r="S111" s="3"/>
    </row>
    <row r="112" spans="2:19" s="2" customFormat="1" hidden="1" x14ac:dyDescent="0.25">
      <c r="B112">
        <v>10982</v>
      </c>
      <c r="C112" t="s">
        <v>59</v>
      </c>
      <c r="D112" s="6">
        <v>43186</v>
      </c>
      <c r="E112" s="6">
        <v>43214</v>
      </c>
      <c r="F112" s="6">
        <v>43198</v>
      </c>
      <c r="G112" s="3" t="s">
        <v>644</v>
      </c>
      <c r="H112" s="3">
        <v>70.05</v>
      </c>
      <c r="I112" s="3" t="s">
        <v>323</v>
      </c>
      <c r="J112" s="3" t="str">
        <f t="shared" si="1"/>
        <v>Mar</v>
      </c>
      <c r="K112"/>
      <c r="L112"/>
      <c r="M112" s="6"/>
      <c r="N112" s="6"/>
      <c r="O112" s="6"/>
      <c r="P112" s="3"/>
      <c r="Q112" s="3"/>
      <c r="R112" s="3"/>
      <c r="S112" s="3"/>
    </row>
    <row r="113" spans="2:19" s="2" customFormat="1" hidden="1" x14ac:dyDescent="0.25">
      <c r="B113">
        <v>11027</v>
      </c>
      <c r="C113" t="s">
        <v>59</v>
      </c>
      <c r="D113" s="6">
        <v>43206</v>
      </c>
      <c r="E113" s="6">
        <v>43234</v>
      </c>
      <c r="F113" s="6">
        <v>43210</v>
      </c>
      <c r="G113" s="3" t="s">
        <v>644</v>
      </c>
      <c r="H113" s="3">
        <v>262.60000000000002</v>
      </c>
      <c r="I113" s="3" t="s">
        <v>323</v>
      </c>
      <c r="J113" s="3" t="str">
        <f t="shared" si="1"/>
        <v>Apr</v>
      </c>
      <c r="K113"/>
      <c r="L113"/>
      <c r="M113" s="6"/>
      <c r="N113" s="6"/>
      <c r="O113" s="6"/>
      <c r="P113" s="3"/>
      <c r="Q113" s="3"/>
      <c r="R113" s="3"/>
      <c r="S113" s="3"/>
    </row>
    <row r="114" spans="2:19" s="2" customFormat="1" hidden="1" x14ac:dyDescent="0.25">
      <c r="B114">
        <v>11045</v>
      </c>
      <c r="C114" t="s">
        <v>59</v>
      </c>
      <c r="D114" s="6">
        <v>43213</v>
      </c>
      <c r="E114" s="6">
        <v>43241</v>
      </c>
      <c r="F114" s="6"/>
      <c r="G114" s="3" t="s">
        <v>645</v>
      </c>
      <c r="H114" s="3">
        <v>352.9</v>
      </c>
      <c r="I114" s="3" t="s">
        <v>323</v>
      </c>
      <c r="J114" s="3" t="str">
        <f t="shared" si="1"/>
        <v>Apr</v>
      </c>
      <c r="K114"/>
      <c r="L114"/>
      <c r="M114" s="6"/>
      <c r="N114" s="6"/>
      <c r="O114" s="6"/>
      <c r="P114" s="3"/>
      <c r="Q114" s="3"/>
      <c r="R114" s="3"/>
      <c r="S114" s="3"/>
    </row>
    <row r="115" spans="2:19" s="2" customFormat="1" hidden="1" x14ac:dyDescent="0.25">
      <c r="B115">
        <v>11048</v>
      </c>
      <c r="C115" t="s">
        <v>59</v>
      </c>
      <c r="D115" s="6">
        <v>43214</v>
      </c>
      <c r="E115" s="6">
        <v>43242</v>
      </c>
      <c r="F115" s="6">
        <v>43220</v>
      </c>
      <c r="G115" s="3" t="s">
        <v>646</v>
      </c>
      <c r="H115" s="3">
        <v>120.60000000000001</v>
      </c>
      <c r="I115" s="3" t="s">
        <v>323</v>
      </c>
      <c r="J115" s="3" t="str">
        <f t="shared" si="1"/>
        <v>Apr</v>
      </c>
      <c r="K115"/>
      <c r="L115"/>
      <c r="M115" s="6"/>
      <c r="N115" s="6"/>
      <c r="O115" s="6"/>
      <c r="P115" s="3"/>
      <c r="Q115" s="3"/>
      <c r="R115" s="3"/>
      <c r="S115" s="3"/>
    </row>
    <row r="116" spans="2:19" s="2" customFormat="1" hidden="1" x14ac:dyDescent="0.25">
      <c r="B116">
        <v>10289</v>
      </c>
      <c r="C116" t="s">
        <v>63</v>
      </c>
      <c r="D116" s="6">
        <v>42608</v>
      </c>
      <c r="E116" s="6">
        <v>42636</v>
      </c>
      <c r="F116" s="6">
        <v>42610</v>
      </c>
      <c r="G116" s="3" t="s">
        <v>646</v>
      </c>
      <c r="H116" s="3">
        <v>113.85</v>
      </c>
      <c r="I116" s="3" t="s">
        <v>325</v>
      </c>
      <c r="J116" s="3" t="str">
        <f t="shared" si="1"/>
        <v>Aug</v>
      </c>
      <c r="K116"/>
      <c r="L116"/>
      <c r="M116" s="6"/>
      <c r="N116" s="6"/>
      <c r="O116" s="6"/>
      <c r="P116" s="3"/>
      <c r="Q116" s="3"/>
      <c r="R116" s="3"/>
      <c r="S116" s="3"/>
    </row>
    <row r="117" spans="2:19" s="2" customFormat="1" hidden="1" x14ac:dyDescent="0.25">
      <c r="B117">
        <v>10471</v>
      </c>
      <c r="C117" t="s">
        <v>63</v>
      </c>
      <c r="D117" s="6">
        <v>42805</v>
      </c>
      <c r="E117" s="6">
        <v>42833</v>
      </c>
      <c r="F117" s="6">
        <v>42812</v>
      </c>
      <c r="G117" s="3" t="s">
        <v>646</v>
      </c>
      <c r="H117" s="3">
        <v>227.95000000000002</v>
      </c>
      <c r="I117" s="3" t="s">
        <v>325</v>
      </c>
      <c r="J117" s="3" t="str">
        <f t="shared" si="1"/>
        <v>Mar</v>
      </c>
      <c r="K117"/>
      <c r="L117"/>
      <c r="M117" s="6"/>
      <c r="N117" s="6"/>
      <c r="O117" s="6"/>
      <c r="P117" s="3"/>
      <c r="Q117" s="3"/>
      <c r="R117" s="3"/>
      <c r="S117" s="3"/>
    </row>
    <row r="118" spans="2:19" s="2" customFormat="1" hidden="1" x14ac:dyDescent="0.25">
      <c r="B118">
        <v>10484</v>
      </c>
      <c r="C118" t="s">
        <v>63</v>
      </c>
      <c r="D118" s="6">
        <v>42818</v>
      </c>
      <c r="E118" s="6">
        <v>42846</v>
      </c>
      <c r="F118" s="6">
        <v>42826</v>
      </c>
      <c r="G118" s="3" t="s">
        <v>646</v>
      </c>
      <c r="H118" s="3">
        <v>34.4</v>
      </c>
      <c r="I118" s="3" t="s">
        <v>325</v>
      </c>
      <c r="J118" s="3" t="str">
        <f t="shared" si="1"/>
        <v>Mar</v>
      </c>
      <c r="K118"/>
      <c r="L118"/>
      <c r="M118" s="6"/>
      <c r="N118" s="6"/>
      <c r="O118" s="6"/>
      <c r="P118" s="3"/>
      <c r="Q118" s="3"/>
      <c r="R118" s="3"/>
      <c r="S118" s="3"/>
    </row>
    <row r="119" spans="2:19" s="2" customFormat="1" hidden="1" x14ac:dyDescent="0.25">
      <c r="B119">
        <v>10538</v>
      </c>
      <c r="C119" t="s">
        <v>63</v>
      </c>
      <c r="D119" s="6">
        <v>42870</v>
      </c>
      <c r="E119" s="6">
        <v>42898</v>
      </c>
      <c r="F119" s="6">
        <v>42871</v>
      </c>
      <c r="G119" s="3" t="s">
        <v>646</v>
      </c>
      <c r="H119" s="3">
        <v>24.35</v>
      </c>
      <c r="I119" s="3" t="s">
        <v>325</v>
      </c>
      <c r="J119" s="3" t="str">
        <f t="shared" si="1"/>
        <v>May</v>
      </c>
      <c r="K119"/>
      <c r="L119"/>
      <c r="M119" s="6"/>
      <c r="N119" s="6"/>
      <c r="O119" s="6"/>
      <c r="P119" s="3"/>
      <c r="Q119" s="3"/>
      <c r="R119" s="3"/>
      <c r="S119" s="3"/>
    </row>
    <row r="120" spans="2:19" s="2" customFormat="1" hidden="1" x14ac:dyDescent="0.25">
      <c r="B120">
        <v>10539</v>
      </c>
      <c r="C120" t="s">
        <v>63</v>
      </c>
      <c r="D120" s="6">
        <v>42871</v>
      </c>
      <c r="E120" s="6">
        <v>42899</v>
      </c>
      <c r="F120" s="6">
        <v>42878</v>
      </c>
      <c r="G120" s="3" t="s">
        <v>646</v>
      </c>
      <c r="H120" s="3">
        <v>61.8</v>
      </c>
      <c r="I120" s="3" t="s">
        <v>325</v>
      </c>
      <c r="J120" s="3" t="str">
        <f t="shared" si="1"/>
        <v>May</v>
      </c>
      <c r="K120"/>
      <c r="L120"/>
      <c r="M120" s="6"/>
      <c r="N120" s="6"/>
      <c r="O120" s="6"/>
      <c r="P120" s="3"/>
      <c r="Q120" s="3"/>
      <c r="R120" s="3"/>
      <c r="S120" s="3"/>
    </row>
    <row r="121" spans="2:19" s="2" customFormat="1" hidden="1" x14ac:dyDescent="0.25">
      <c r="B121">
        <v>10578</v>
      </c>
      <c r="C121" t="s">
        <v>63</v>
      </c>
      <c r="D121" s="6">
        <v>42910</v>
      </c>
      <c r="E121" s="6">
        <v>42938</v>
      </c>
      <c r="F121" s="6">
        <v>42941</v>
      </c>
      <c r="G121" s="3" t="s">
        <v>646</v>
      </c>
      <c r="H121" s="3">
        <v>148</v>
      </c>
      <c r="I121" s="3" t="s">
        <v>325</v>
      </c>
      <c r="J121" s="3" t="str">
        <f t="shared" si="1"/>
        <v>Jun</v>
      </c>
      <c r="K121"/>
      <c r="L121"/>
      <c r="M121" s="6"/>
      <c r="N121" s="6"/>
      <c r="O121" s="6"/>
      <c r="P121" s="3"/>
      <c r="Q121" s="3"/>
      <c r="R121" s="3"/>
      <c r="S121" s="3"/>
    </row>
    <row r="122" spans="2:19" s="2" customFormat="1" hidden="1" x14ac:dyDescent="0.25">
      <c r="B122">
        <v>10599</v>
      </c>
      <c r="C122" t="s">
        <v>63</v>
      </c>
      <c r="D122" s="6">
        <v>42931</v>
      </c>
      <c r="E122" s="6">
        <v>42973</v>
      </c>
      <c r="F122" s="6">
        <v>42937</v>
      </c>
      <c r="G122" s="3" t="s">
        <v>646</v>
      </c>
      <c r="H122" s="3">
        <v>149.9</v>
      </c>
      <c r="I122" s="3" t="s">
        <v>325</v>
      </c>
      <c r="J122" s="3" t="str">
        <f t="shared" si="1"/>
        <v>Jul</v>
      </c>
      <c r="K122"/>
      <c r="L122"/>
      <c r="M122" s="6"/>
      <c r="N122" s="6"/>
      <c r="O122" s="6"/>
      <c r="P122" s="3"/>
      <c r="Q122" s="3"/>
      <c r="R122" s="3"/>
      <c r="S122" s="3"/>
    </row>
    <row r="123" spans="2:19" s="2" customFormat="1" hidden="1" x14ac:dyDescent="0.25">
      <c r="B123">
        <v>10943</v>
      </c>
      <c r="C123" t="s">
        <v>63</v>
      </c>
      <c r="D123" s="6">
        <v>43170</v>
      </c>
      <c r="E123" s="6">
        <v>43198</v>
      </c>
      <c r="F123" s="6">
        <v>43178</v>
      </c>
      <c r="G123" s="3" t="s">
        <v>645</v>
      </c>
      <c r="H123" s="3">
        <v>10.85</v>
      </c>
      <c r="I123" s="3" t="s">
        <v>325</v>
      </c>
      <c r="J123" s="3" t="str">
        <f t="shared" si="1"/>
        <v>Mar</v>
      </c>
      <c r="K123"/>
      <c r="L123"/>
      <c r="M123" s="6"/>
      <c r="N123" s="6"/>
      <c r="O123" s="6"/>
      <c r="P123" s="3"/>
      <c r="Q123" s="3"/>
      <c r="R123" s="3"/>
      <c r="S123" s="3"/>
    </row>
    <row r="124" spans="2:19" s="2" customFormat="1" hidden="1" x14ac:dyDescent="0.25">
      <c r="B124">
        <v>10947</v>
      </c>
      <c r="C124" t="s">
        <v>63</v>
      </c>
      <c r="D124" s="6">
        <v>43172</v>
      </c>
      <c r="E124" s="6">
        <v>43200</v>
      </c>
      <c r="F124" s="6">
        <v>43175</v>
      </c>
      <c r="G124" s="3" t="s">
        <v>645</v>
      </c>
      <c r="H124" s="3">
        <v>16.299999999999997</v>
      </c>
      <c r="I124" s="3" t="s">
        <v>325</v>
      </c>
      <c r="J124" s="3" t="str">
        <f t="shared" si="1"/>
        <v>Mar</v>
      </c>
      <c r="K124"/>
      <c r="L124"/>
      <c r="M124" s="6"/>
      <c r="N124" s="6"/>
      <c r="O124" s="6"/>
      <c r="P124" s="3"/>
      <c r="Q124" s="3"/>
      <c r="R124" s="3"/>
      <c r="S124" s="3"/>
    </row>
    <row r="125" spans="2:19" s="2" customFormat="1" hidden="1" x14ac:dyDescent="0.25">
      <c r="B125">
        <v>11023</v>
      </c>
      <c r="C125" t="s">
        <v>63</v>
      </c>
      <c r="D125" s="6">
        <v>43204</v>
      </c>
      <c r="E125" s="6">
        <v>43218</v>
      </c>
      <c r="F125" s="6">
        <v>43214</v>
      </c>
      <c r="G125" s="3" t="s">
        <v>645</v>
      </c>
      <c r="H125" s="3">
        <v>619.15</v>
      </c>
      <c r="I125" s="3" t="s">
        <v>325</v>
      </c>
      <c r="J125" s="3" t="str">
        <f t="shared" si="1"/>
        <v>Apr</v>
      </c>
      <c r="K125"/>
      <c r="L125"/>
      <c r="M125" s="6"/>
      <c r="N125" s="6"/>
      <c r="O125" s="6"/>
      <c r="P125" s="3"/>
      <c r="Q125" s="3"/>
      <c r="R125" s="3"/>
      <c r="S125" s="3"/>
    </row>
    <row r="126" spans="2:19" s="2" customFormat="1" hidden="1" x14ac:dyDescent="0.25">
      <c r="B126">
        <v>10521</v>
      </c>
      <c r="C126" t="s">
        <v>65</v>
      </c>
      <c r="D126" s="6">
        <v>42854</v>
      </c>
      <c r="E126" s="6">
        <v>42882</v>
      </c>
      <c r="F126" s="6">
        <v>42857</v>
      </c>
      <c r="G126" s="3" t="s">
        <v>645</v>
      </c>
      <c r="H126" s="3">
        <v>86.1</v>
      </c>
      <c r="I126" s="3" t="s">
        <v>326</v>
      </c>
      <c r="J126" s="3" t="str">
        <f t="shared" si="1"/>
        <v>Apr</v>
      </c>
      <c r="K126"/>
      <c r="L126"/>
      <c r="M126" s="6"/>
      <c r="N126" s="6"/>
      <c r="O126" s="6"/>
      <c r="P126" s="3"/>
      <c r="Q126" s="3"/>
      <c r="R126" s="3"/>
      <c r="S126" s="3"/>
    </row>
    <row r="127" spans="2:19" s="2" customFormat="1" hidden="1" x14ac:dyDescent="0.25">
      <c r="B127">
        <v>10782</v>
      </c>
      <c r="C127" t="s">
        <v>65</v>
      </c>
      <c r="D127" s="6">
        <v>43086</v>
      </c>
      <c r="E127" s="6">
        <v>43114</v>
      </c>
      <c r="F127" s="6">
        <v>43091</v>
      </c>
      <c r="G127" s="3" t="s">
        <v>646</v>
      </c>
      <c r="H127" s="3">
        <v>5.5</v>
      </c>
      <c r="I127" s="3" t="s">
        <v>326</v>
      </c>
      <c r="J127" s="3" t="str">
        <f t="shared" si="1"/>
        <v>Dec</v>
      </c>
      <c r="K127"/>
      <c r="L127"/>
      <c r="M127" s="6"/>
      <c r="N127" s="6"/>
      <c r="O127" s="6"/>
      <c r="P127" s="3"/>
      <c r="Q127" s="3"/>
      <c r="R127" s="3"/>
      <c r="S127" s="3"/>
    </row>
    <row r="128" spans="2:19" s="2" customFormat="1" hidden="1" x14ac:dyDescent="0.25">
      <c r="B128">
        <v>10819</v>
      </c>
      <c r="C128" t="s">
        <v>65</v>
      </c>
      <c r="D128" s="6">
        <v>43107</v>
      </c>
      <c r="E128" s="6">
        <v>43135</v>
      </c>
      <c r="F128" s="6">
        <v>43116</v>
      </c>
      <c r="G128" s="3" t="s">
        <v>646</v>
      </c>
      <c r="H128" s="3">
        <v>98.800000000000011</v>
      </c>
      <c r="I128" s="3" t="s">
        <v>326</v>
      </c>
      <c r="J128" s="3" t="str">
        <f t="shared" si="1"/>
        <v>Jan</v>
      </c>
      <c r="K128"/>
      <c r="L128"/>
      <c r="M128" s="6"/>
      <c r="N128" s="6"/>
      <c r="O128" s="6"/>
      <c r="P128" s="3"/>
      <c r="Q128" s="3"/>
      <c r="R128" s="3"/>
      <c r="S128" s="3"/>
    </row>
    <row r="129" spans="2:19" s="2" customFormat="1" hidden="1" x14ac:dyDescent="0.25">
      <c r="B129">
        <v>10881</v>
      </c>
      <c r="C129" t="s">
        <v>65</v>
      </c>
      <c r="D129" s="6">
        <v>43142</v>
      </c>
      <c r="E129" s="6">
        <v>43170</v>
      </c>
      <c r="F129" s="6">
        <v>43149</v>
      </c>
      <c r="G129" s="3" t="s">
        <v>644</v>
      </c>
      <c r="H129" s="3">
        <v>14.2</v>
      </c>
      <c r="I129" s="3" t="s">
        <v>326</v>
      </c>
      <c r="J129" s="3" t="str">
        <f t="shared" si="1"/>
        <v>Feb</v>
      </c>
      <c r="K129"/>
      <c r="L129"/>
      <c r="M129" s="6"/>
      <c r="N129" s="6"/>
      <c r="O129" s="6"/>
      <c r="P129" s="3"/>
      <c r="Q129" s="3"/>
      <c r="R129" s="3"/>
      <c r="S129" s="3"/>
    </row>
    <row r="130" spans="2:19" s="2" customFormat="1" hidden="1" x14ac:dyDescent="0.25">
      <c r="B130">
        <v>10937</v>
      </c>
      <c r="C130" t="s">
        <v>65</v>
      </c>
      <c r="D130" s="6">
        <v>43169</v>
      </c>
      <c r="E130" s="6">
        <v>43183</v>
      </c>
      <c r="F130" s="6">
        <v>43172</v>
      </c>
      <c r="G130" s="3" t="s">
        <v>646</v>
      </c>
      <c r="H130" s="3">
        <v>157.55000000000001</v>
      </c>
      <c r="I130" s="3" t="s">
        <v>326</v>
      </c>
      <c r="J130" s="3" t="str">
        <f t="shared" si="1"/>
        <v>Mar</v>
      </c>
      <c r="K130"/>
      <c r="L130"/>
      <c r="M130" s="6"/>
      <c r="N130" s="6"/>
      <c r="O130" s="6"/>
      <c r="P130" s="3"/>
      <c r="Q130" s="3"/>
      <c r="R130" s="3"/>
      <c r="S130" s="3"/>
    </row>
    <row r="131" spans="2:19" s="2" customFormat="1" hidden="1" x14ac:dyDescent="0.25">
      <c r="B131">
        <v>11054</v>
      </c>
      <c r="C131" t="s">
        <v>65</v>
      </c>
      <c r="D131" s="6">
        <v>43218</v>
      </c>
      <c r="E131" s="6">
        <v>43246</v>
      </c>
      <c r="F131" s="6"/>
      <c r="G131" s="3" t="s">
        <v>644</v>
      </c>
      <c r="H131" s="3">
        <v>1.6500000000000001</v>
      </c>
      <c r="I131" s="3" t="s">
        <v>326</v>
      </c>
      <c r="J131" s="3" t="str">
        <f t="shared" si="1"/>
        <v>Apr</v>
      </c>
      <c r="K131"/>
      <c r="L131"/>
      <c r="M131" s="6"/>
      <c r="N131" s="6"/>
      <c r="O131" s="6"/>
      <c r="P131" s="3"/>
      <c r="Q131" s="3"/>
      <c r="R131" s="3"/>
      <c r="S131" s="3"/>
    </row>
    <row r="132" spans="2:19" s="2" customFormat="1" hidden="1" x14ac:dyDescent="0.25">
      <c r="B132">
        <v>10259</v>
      </c>
      <c r="C132" t="s">
        <v>69</v>
      </c>
      <c r="D132" s="6">
        <v>42569</v>
      </c>
      <c r="E132" s="6">
        <v>42597</v>
      </c>
      <c r="F132" s="6">
        <v>42576</v>
      </c>
      <c r="G132" s="3" t="s">
        <v>646</v>
      </c>
      <c r="H132" s="3">
        <v>16.25</v>
      </c>
      <c r="I132" s="3" t="s">
        <v>327</v>
      </c>
      <c r="J132" s="3" t="str">
        <f t="shared" si="1"/>
        <v>Jul</v>
      </c>
      <c r="K132"/>
      <c r="L132"/>
      <c r="M132" s="6"/>
      <c r="N132" s="6"/>
      <c r="O132" s="6"/>
      <c r="P132" s="3"/>
      <c r="Q132" s="3"/>
      <c r="R132" s="3"/>
      <c r="S132" s="3"/>
    </row>
    <row r="133" spans="2:19" s="2" customFormat="1" hidden="1" x14ac:dyDescent="0.25">
      <c r="B133">
        <v>10254</v>
      </c>
      <c r="C133" t="s">
        <v>72</v>
      </c>
      <c r="D133" s="6">
        <v>42562</v>
      </c>
      <c r="E133" s="6">
        <v>42590</v>
      </c>
      <c r="F133" s="6">
        <v>42574</v>
      </c>
      <c r="G133" s="3" t="s">
        <v>645</v>
      </c>
      <c r="H133" s="3">
        <v>114.9</v>
      </c>
      <c r="I133" s="3" t="s">
        <v>328</v>
      </c>
      <c r="J133" s="3" t="str">
        <f t="shared" si="1"/>
        <v>Jul</v>
      </c>
      <c r="K133"/>
      <c r="L133"/>
      <c r="M133" s="6"/>
      <c r="N133" s="6"/>
      <c r="O133" s="6"/>
      <c r="P133" s="3"/>
      <c r="Q133" s="3"/>
      <c r="R133" s="3"/>
      <c r="S133" s="3"/>
    </row>
    <row r="134" spans="2:19" s="2" customFormat="1" hidden="1" x14ac:dyDescent="0.25">
      <c r="B134">
        <v>10370</v>
      </c>
      <c r="C134" t="s">
        <v>72</v>
      </c>
      <c r="D134" s="6">
        <v>42707</v>
      </c>
      <c r="E134" s="6">
        <v>42735</v>
      </c>
      <c r="F134" s="6">
        <v>42731</v>
      </c>
      <c r="G134" s="3" t="s">
        <v>645</v>
      </c>
      <c r="H134" s="3">
        <v>5.85</v>
      </c>
      <c r="I134" s="3" t="s">
        <v>328</v>
      </c>
      <c r="J134" s="3" t="str">
        <f t="shared" si="1"/>
        <v>Dec</v>
      </c>
      <c r="K134"/>
      <c r="L134"/>
      <c r="M134" s="6"/>
      <c r="N134" s="6"/>
      <c r="O134" s="6"/>
      <c r="P134" s="3"/>
      <c r="Q134" s="3"/>
      <c r="R134" s="3"/>
      <c r="S134" s="3"/>
    </row>
    <row r="135" spans="2:19" s="2" customFormat="1" hidden="1" x14ac:dyDescent="0.25">
      <c r="B135">
        <v>10519</v>
      </c>
      <c r="C135" t="s">
        <v>72</v>
      </c>
      <c r="D135" s="6">
        <v>42853</v>
      </c>
      <c r="E135" s="6">
        <v>42881</v>
      </c>
      <c r="F135" s="6">
        <v>42856</v>
      </c>
      <c r="G135" s="3" t="s">
        <v>646</v>
      </c>
      <c r="H135" s="3">
        <v>458.8</v>
      </c>
      <c r="I135" s="3" t="s">
        <v>328</v>
      </c>
      <c r="J135" s="3" t="str">
        <f t="shared" si="1"/>
        <v>Apr</v>
      </c>
      <c r="K135"/>
      <c r="L135"/>
      <c r="M135" s="6"/>
      <c r="N135" s="6"/>
      <c r="O135" s="6"/>
      <c r="P135" s="3"/>
      <c r="Q135" s="3"/>
      <c r="R135" s="3"/>
      <c r="S135" s="3"/>
    </row>
    <row r="136" spans="2:19" s="2" customFormat="1" hidden="1" x14ac:dyDescent="0.25">
      <c r="B136">
        <v>10731</v>
      </c>
      <c r="C136" t="s">
        <v>72</v>
      </c>
      <c r="D136" s="6">
        <v>43045</v>
      </c>
      <c r="E136" s="6">
        <v>43073</v>
      </c>
      <c r="F136" s="6">
        <v>43053</v>
      </c>
      <c r="G136" s="3" t="s">
        <v>644</v>
      </c>
      <c r="H136" s="3">
        <v>483.25</v>
      </c>
      <c r="I136" s="3" t="s">
        <v>328</v>
      </c>
      <c r="J136" s="3" t="str">
        <f t="shared" si="1"/>
        <v>Nov</v>
      </c>
      <c r="K136"/>
      <c r="L136"/>
      <c r="M136" s="6"/>
      <c r="N136" s="6"/>
      <c r="O136" s="6"/>
      <c r="P136" s="3"/>
      <c r="Q136" s="3"/>
      <c r="R136" s="3"/>
      <c r="S136" s="3"/>
    </row>
    <row r="137" spans="2:19" s="2" customFormat="1" hidden="1" x14ac:dyDescent="0.25">
      <c r="B137">
        <v>10746</v>
      </c>
      <c r="C137" t="s">
        <v>72</v>
      </c>
      <c r="D137" s="6">
        <v>43058</v>
      </c>
      <c r="E137" s="6">
        <v>43086</v>
      </c>
      <c r="F137" s="6">
        <v>43060</v>
      </c>
      <c r="G137" s="3" t="s">
        <v>646</v>
      </c>
      <c r="H137" s="3">
        <v>157.15</v>
      </c>
      <c r="I137" s="3" t="s">
        <v>328</v>
      </c>
      <c r="J137" s="3" t="str">
        <f t="shared" si="1"/>
        <v>Nov</v>
      </c>
      <c r="K137"/>
      <c r="L137"/>
      <c r="M137" s="6"/>
      <c r="N137" s="6"/>
      <c r="O137" s="6"/>
      <c r="P137" s="3"/>
      <c r="Q137" s="3"/>
      <c r="R137" s="3"/>
      <c r="S137" s="3"/>
    </row>
    <row r="138" spans="2:19" s="2" customFormat="1" hidden="1" x14ac:dyDescent="0.25">
      <c r="B138">
        <v>10966</v>
      </c>
      <c r="C138" t="s">
        <v>72</v>
      </c>
      <c r="D138" s="6">
        <v>43179</v>
      </c>
      <c r="E138" s="6">
        <v>43207</v>
      </c>
      <c r="F138" s="6">
        <v>43198</v>
      </c>
      <c r="G138" s="3" t="s">
        <v>644</v>
      </c>
      <c r="H138" s="3">
        <v>135.95000000000002</v>
      </c>
      <c r="I138" s="3" t="s">
        <v>328</v>
      </c>
      <c r="J138" s="3" t="str">
        <f t="shared" si="1"/>
        <v>Mar</v>
      </c>
      <c r="K138"/>
      <c r="L138"/>
      <c r="M138" s="6"/>
      <c r="N138" s="6"/>
      <c r="O138" s="6"/>
      <c r="P138" s="3"/>
      <c r="Q138" s="3"/>
      <c r="R138" s="3"/>
      <c r="S138" s="3"/>
    </row>
    <row r="139" spans="2:19" s="2" customFormat="1" hidden="1" x14ac:dyDescent="0.25">
      <c r="B139">
        <v>11029</v>
      </c>
      <c r="C139" t="s">
        <v>72</v>
      </c>
      <c r="D139" s="6">
        <v>43206</v>
      </c>
      <c r="E139" s="6">
        <v>43234</v>
      </c>
      <c r="F139" s="6">
        <v>43217</v>
      </c>
      <c r="G139" s="3" t="s">
        <v>644</v>
      </c>
      <c r="H139" s="3">
        <v>239.20000000000002</v>
      </c>
      <c r="I139" s="3" t="s">
        <v>328</v>
      </c>
      <c r="J139" s="3" t="str">
        <f t="shared" si="1"/>
        <v>Apr</v>
      </c>
      <c r="K139"/>
      <c r="L139"/>
      <c r="M139" s="6"/>
      <c r="N139" s="6"/>
      <c r="O139" s="6"/>
      <c r="P139" s="3"/>
      <c r="Q139" s="3"/>
      <c r="R139" s="3"/>
      <c r="S139" s="3"/>
    </row>
    <row r="140" spans="2:19" s="2" customFormat="1" hidden="1" x14ac:dyDescent="0.25">
      <c r="B140">
        <v>11041</v>
      </c>
      <c r="C140" t="s">
        <v>72</v>
      </c>
      <c r="D140" s="6">
        <v>43212</v>
      </c>
      <c r="E140" s="6">
        <v>43240</v>
      </c>
      <c r="F140" s="6">
        <v>43218</v>
      </c>
      <c r="G140" s="3" t="s">
        <v>645</v>
      </c>
      <c r="H140" s="3">
        <v>241.1</v>
      </c>
      <c r="I140" s="3" t="s">
        <v>328</v>
      </c>
      <c r="J140" s="3" t="str">
        <f t="shared" si="1"/>
        <v>Apr</v>
      </c>
      <c r="K140"/>
      <c r="L140"/>
      <c r="M140" s="6"/>
      <c r="N140" s="6"/>
      <c r="O140" s="6"/>
      <c r="P140" s="3"/>
      <c r="Q140" s="3"/>
      <c r="R140" s="3"/>
      <c r="S140" s="3"/>
    </row>
    <row r="141" spans="2:19" s="2" customFormat="1" hidden="1" x14ac:dyDescent="0.25">
      <c r="B141">
        <v>10290</v>
      </c>
      <c r="C141" t="s">
        <v>74</v>
      </c>
      <c r="D141" s="6">
        <v>42609</v>
      </c>
      <c r="E141" s="6">
        <v>42637</v>
      </c>
      <c r="F141" s="6">
        <v>42616</v>
      </c>
      <c r="G141" s="3" t="s">
        <v>644</v>
      </c>
      <c r="H141" s="3">
        <v>398.5</v>
      </c>
      <c r="I141" s="3" t="s">
        <v>329</v>
      </c>
      <c r="J141" s="3" t="str">
        <f t="shared" si="1"/>
        <v>Aug</v>
      </c>
      <c r="K141"/>
      <c r="L141"/>
      <c r="M141" s="6"/>
      <c r="N141" s="6"/>
      <c r="O141" s="6"/>
      <c r="P141" s="3"/>
      <c r="Q141" s="3"/>
      <c r="R141" s="3"/>
      <c r="S141" s="3"/>
    </row>
    <row r="142" spans="2:19" s="2" customFormat="1" hidden="1" x14ac:dyDescent="0.25">
      <c r="B142">
        <v>10466</v>
      </c>
      <c r="C142" t="s">
        <v>74</v>
      </c>
      <c r="D142" s="6">
        <v>42800</v>
      </c>
      <c r="E142" s="6">
        <v>42828</v>
      </c>
      <c r="F142" s="6">
        <v>42807</v>
      </c>
      <c r="G142" s="3" t="s">
        <v>644</v>
      </c>
      <c r="H142" s="3">
        <v>59.65</v>
      </c>
      <c r="I142" s="3" t="s">
        <v>329</v>
      </c>
      <c r="J142" s="3" t="str">
        <f t="shared" si="1"/>
        <v>Mar</v>
      </c>
      <c r="K142"/>
      <c r="L142"/>
      <c r="M142" s="6"/>
      <c r="N142" s="6"/>
      <c r="O142" s="6"/>
      <c r="P142" s="3"/>
      <c r="Q142" s="3"/>
      <c r="R142" s="3"/>
      <c r="S142" s="3"/>
    </row>
    <row r="143" spans="2:19" s="2" customFormat="1" hidden="1" x14ac:dyDescent="0.25">
      <c r="B143">
        <v>10494</v>
      </c>
      <c r="C143" t="s">
        <v>74</v>
      </c>
      <c r="D143" s="6">
        <v>42827</v>
      </c>
      <c r="E143" s="6">
        <v>42855</v>
      </c>
      <c r="F143" s="6">
        <v>42834</v>
      </c>
      <c r="G143" s="3" t="s">
        <v>645</v>
      </c>
      <c r="H143" s="3">
        <v>329.95</v>
      </c>
      <c r="I143" s="3" t="s">
        <v>329</v>
      </c>
      <c r="J143" s="3" t="str">
        <f t="shared" si="1"/>
        <v>Apr</v>
      </c>
      <c r="K143"/>
      <c r="L143"/>
      <c r="M143" s="6"/>
      <c r="N143" s="6"/>
      <c r="O143" s="6"/>
      <c r="P143" s="3"/>
      <c r="Q143" s="3"/>
      <c r="R143" s="3"/>
      <c r="S143" s="3"/>
    </row>
    <row r="144" spans="2:19" s="2" customFormat="1" hidden="1" x14ac:dyDescent="0.25">
      <c r="B144">
        <v>10969</v>
      </c>
      <c r="C144" t="s">
        <v>74</v>
      </c>
      <c r="D144" s="6">
        <v>43182</v>
      </c>
      <c r="E144" s="6">
        <v>43210</v>
      </c>
      <c r="F144" s="6">
        <v>43189</v>
      </c>
      <c r="G144" s="3" t="s">
        <v>645</v>
      </c>
      <c r="H144" s="3">
        <v>1.05</v>
      </c>
      <c r="I144" s="3" t="s">
        <v>329</v>
      </c>
      <c r="J144" s="3" t="str">
        <f t="shared" si="1"/>
        <v>Mar</v>
      </c>
      <c r="K144"/>
      <c r="L144"/>
      <c r="M144" s="6"/>
      <c r="N144" s="6"/>
      <c r="O144" s="6"/>
      <c r="P144" s="3"/>
      <c r="Q144" s="3"/>
      <c r="R144" s="3"/>
      <c r="S144" s="3"/>
    </row>
    <row r="145" spans="2:19" s="2" customFormat="1" hidden="1" x14ac:dyDescent="0.25">
      <c r="B145">
        <v>11042</v>
      </c>
      <c r="C145" t="s">
        <v>74</v>
      </c>
      <c r="D145" s="6">
        <v>43212</v>
      </c>
      <c r="E145" s="6">
        <v>43226</v>
      </c>
      <c r="F145" s="6">
        <v>43221</v>
      </c>
      <c r="G145" s="3" t="s">
        <v>644</v>
      </c>
      <c r="H145" s="3">
        <v>149.94999999999999</v>
      </c>
      <c r="I145" s="3" t="s">
        <v>329</v>
      </c>
      <c r="J145" s="3" t="str">
        <f t="shared" ref="J145:J208" si="2">TEXT(D145,"mmm")</f>
        <v>Apr</v>
      </c>
      <c r="K145"/>
      <c r="L145"/>
      <c r="M145" s="6"/>
      <c r="N145" s="6"/>
      <c r="O145" s="6"/>
      <c r="P145" s="3"/>
      <c r="Q145" s="3"/>
      <c r="R145" s="3"/>
      <c r="S145" s="3"/>
    </row>
    <row r="146" spans="2:19" s="2" customFormat="1" hidden="1" x14ac:dyDescent="0.25">
      <c r="B146">
        <v>10435</v>
      </c>
      <c r="C146" t="s">
        <v>78</v>
      </c>
      <c r="D146" s="6">
        <v>42770</v>
      </c>
      <c r="E146" s="6">
        <v>42812</v>
      </c>
      <c r="F146" s="6">
        <v>42773</v>
      </c>
      <c r="G146" s="3" t="s">
        <v>645</v>
      </c>
      <c r="H146" s="3">
        <v>46.050000000000004</v>
      </c>
      <c r="I146" s="3" t="s">
        <v>17</v>
      </c>
      <c r="J146" s="3" t="str">
        <f t="shared" si="2"/>
        <v>Feb</v>
      </c>
      <c r="K146"/>
      <c r="L146"/>
      <c r="M146" s="6"/>
      <c r="N146" s="6"/>
      <c r="O146" s="6"/>
      <c r="P146" s="3"/>
      <c r="Q146" s="3"/>
      <c r="R146" s="3"/>
      <c r="S146" s="3"/>
    </row>
    <row r="147" spans="2:19" s="2" customFormat="1" hidden="1" x14ac:dyDescent="0.25">
      <c r="B147">
        <v>10462</v>
      </c>
      <c r="C147" t="s">
        <v>78</v>
      </c>
      <c r="D147" s="6">
        <v>42797</v>
      </c>
      <c r="E147" s="6">
        <v>42825</v>
      </c>
      <c r="F147" s="6">
        <v>42812</v>
      </c>
      <c r="G147" s="3" t="s">
        <v>644</v>
      </c>
      <c r="H147" s="3">
        <v>30.85</v>
      </c>
      <c r="I147" s="3" t="s">
        <v>17</v>
      </c>
      <c r="J147" s="3" t="str">
        <f t="shared" si="2"/>
        <v>Mar</v>
      </c>
      <c r="K147"/>
      <c r="L147"/>
      <c r="M147" s="6"/>
      <c r="N147" s="6"/>
      <c r="O147" s="6"/>
      <c r="P147" s="3"/>
      <c r="Q147" s="3"/>
      <c r="R147" s="3"/>
      <c r="S147" s="3"/>
    </row>
    <row r="148" spans="2:19" s="2" customFormat="1" hidden="1" x14ac:dyDescent="0.25">
      <c r="B148">
        <v>10848</v>
      </c>
      <c r="C148" t="s">
        <v>78</v>
      </c>
      <c r="D148" s="6">
        <v>43123</v>
      </c>
      <c r="E148" s="6">
        <v>43151</v>
      </c>
      <c r="F148" s="6">
        <v>43129</v>
      </c>
      <c r="G148" s="3" t="s">
        <v>645</v>
      </c>
      <c r="H148" s="3">
        <v>191.20000000000002</v>
      </c>
      <c r="I148" s="3" t="s">
        <v>17</v>
      </c>
      <c r="J148" s="3" t="str">
        <f t="shared" si="2"/>
        <v>Jan</v>
      </c>
      <c r="K148"/>
      <c r="L148"/>
      <c r="M148" s="6"/>
      <c r="N148" s="6"/>
      <c r="O148" s="6"/>
      <c r="P148" s="3"/>
      <c r="Q148" s="3"/>
      <c r="R148" s="3"/>
      <c r="S148" s="3"/>
    </row>
    <row r="149" spans="2:19" s="2" customFormat="1" hidden="1" x14ac:dyDescent="0.25">
      <c r="B149">
        <v>10363</v>
      </c>
      <c r="C149" t="s">
        <v>81</v>
      </c>
      <c r="D149" s="6">
        <v>42700</v>
      </c>
      <c r="E149" s="6">
        <v>42728</v>
      </c>
      <c r="F149" s="6">
        <v>42708</v>
      </c>
      <c r="G149" s="3" t="s">
        <v>646</v>
      </c>
      <c r="H149" s="3">
        <v>152.69999999999999</v>
      </c>
      <c r="I149" s="3" t="s">
        <v>330</v>
      </c>
      <c r="J149" s="3" t="str">
        <f t="shared" si="2"/>
        <v>Nov</v>
      </c>
      <c r="K149"/>
      <c r="L149"/>
      <c r="M149" s="6"/>
      <c r="N149" s="6"/>
      <c r="O149" s="6"/>
      <c r="P149" s="3"/>
      <c r="Q149" s="3"/>
      <c r="R149" s="3"/>
      <c r="S149" s="3"/>
    </row>
    <row r="150" spans="2:19" s="2" customFormat="1" hidden="1" x14ac:dyDescent="0.25">
      <c r="B150">
        <v>10391</v>
      </c>
      <c r="C150" t="s">
        <v>81</v>
      </c>
      <c r="D150" s="6">
        <v>42727</v>
      </c>
      <c r="E150" s="6">
        <v>42755</v>
      </c>
      <c r="F150" s="6">
        <v>42735</v>
      </c>
      <c r="G150" s="3" t="s">
        <v>646</v>
      </c>
      <c r="H150" s="3">
        <v>27.25</v>
      </c>
      <c r="I150" s="3" t="s">
        <v>330</v>
      </c>
      <c r="J150" s="3" t="str">
        <f t="shared" si="2"/>
        <v>Dec</v>
      </c>
      <c r="K150"/>
      <c r="L150"/>
      <c r="M150" s="6"/>
      <c r="N150" s="6"/>
      <c r="O150" s="6"/>
      <c r="P150" s="3"/>
      <c r="Q150" s="3"/>
      <c r="R150" s="3"/>
      <c r="S150" s="3"/>
    </row>
    <row r="151" spans="2:19" s="2" customFormat="1" hidden="1" x14ac:dyDescent="0.25">
      <c r="B151">
        <v>10797</v>
      </c>
      <c r="C151" t="s">
        <v>81</v>
      </c>
      <c r="D151" s="6">
        <v>43094</v>
      </c>
      <c r="E151" s="6">
        <v>43122</v>
      </c>
      <c r="F151" s="6">
        <v>43105</v>
      </c>
      <c r="G151" s="3" t="s">
        <v>645</v>
      </c>
      <c r="H151" s="3">
        <v>166.75</v>
      </c>
      <c r="I151" s="3" t="s">
        <v>330</v>
      </c>
      <c r="J151" s="3" t="str">
        <f t="shared" si="2"/>
        <v>Dec</v>
      </c>
      <c r="K151"/>
      <c r="L151"/>
      <c r="M151" s="6"/>
      <c r="N151" s="6"/>
      <c r="O151" s="6"/>
      <c r="P151" s="3"/>
      <c r="Q151" s="3"/>
      <c r="R151" s="3"/>
      <c r="S151" s="3"/>
    </row>
    <row r="152" spans="2:19" s="2" customFormat="1" hidden="1" x14ac:dyDescent="0.25">
      <c r="B152">
        <v>10825</v>
      </c>
      <c r="C152" t="s">
        <v>81</v>
      </c>
      <c r="D152" s="6">
        <v>43109</v>
      </c>
      <c r="E152" s="6">
        <v>43137</v>
      </c>
      <c r="F152" s="6">
        <v>43114</v>
      </c>
      <c r="G152" s="3" t="s">
        <v>644</v>
      </c>
      <c r="H152" s="3">
        <v>396.25</v>
      </c>
      <c r="I152" s="3" t="s">
        <v>330</v>
      </c>
      <c r="J152" s="3" t="str">
        <f t="shared" si="2"/>
        <v>Jan</v>
      </c>
      <c r="K152"/>
      <c r="L152"/>
      <c r="M152" s="6"/>
      <c r="N152" s="6"/>
      <c r="O152" s="6"/>
      <c r="P152" s="3"/>
      <c r="Q152" s="3"/>
      <c r="R152" s="3"/>
      <c r="S152" s="3"/>
    </row>
    <row r="153" spans="2:19" s="2" customFormat="1" hidden="1" x14ac:dyDescent="0.25">
      <c r="B153">
        <v>11036</v>
      </c>
      <c r="C153" t="s">
        <v>81</v>
      </c>
      <c r="D153" s="6">
        <v>43210</v>
      </c>
      <c r="E153" s="6">
        <v>43238</v>
      </c>
      <c r="F153" s="6">
        <v>43212</v>
      </c>
      <c r="G153" s="3" t="s">
        <v>646</v>
      </c>
      <c r="H153" s="3">
        <v>747.35</v>
      </c>
      <c r="I153" s="3" t="s">
        <v>330</v>
      </c>
      <c r="J153" s="3" t="str">
        <f t="shared" si="2"/>
        <v>Apr</v>
      </c>
      <c r="K153"/>
      <c r="L153"/>
      <c r="M153" s="6"/>
      <c r="N153" s="6"/>
      <c r="O153" s="6"/>
      <c r="P153" s="3"/>
      <c r="Q153" s="3"/>
      <c r="R153" s="3"/>
      <c r="S153" s="3"/>
    </row>
    <row r="154" spans="2:19" s="2" customFormat="1" hidden="1" x14ac:dyDescent="0.25">
      <c r="B154">
        <v>11067</v>
      </c>
      <c r="C154" t="s">
        <v>81</v>
      </c>
      <c r="D154" s="6">
        <v>43224</v>
      </c>
      <c r="E154" s="6">
        <v>43238</v>
      </c>
      <c r="F154" s="6">
        <v>43226</v>
      </c>
      <c r="G154" s="3" t="s">
        <v>645</v>
      </c>
      <c r="H154" s="3">
        <v>39.900000000000006</v>
      </c>
      <c r="I154" s="3" t="s">
        <v>330</v>
      </c>
      <c r="J154" s="3" t="str">
        <f t="shared" si="2"/>
        <v>May</v>
      </c>
      <c r="K154"/>
      <c r="L154"/>
      <c r="M154" s="6"/>
      <c r="N154" s="6"/>
      <c r="O154" s="6"/>
      <c r="P154" s="3"/>
      <c r="Q154" s="3"/>
      <c r="R154" s="3"/>
      <c r="S154" s="3"/>
    </row>
    <row r="155" spans="2:19" s="2" customFormat="1" hidden="1" x14ac:dyDescent="0.25">
      <c r="B155">
        <v>10311</v>
      </c>
      <c r="C155" t="s">
        <v>84</v>
      </c>
      <c r="D155" s="6">
        <v>42633</v>
      </c>
      <c r="E155" s="6">
        <v>42647</v>
      </c>
      <c r="F155" s="6">
        <v>42639</v>
      </c>
      <c r="G155" s="3" t="s">
        <v>646</v>
      </c>
      <c r="H155" s="3">
        <v>123.45</v>
      </c>
      <c r="I155" s="3" t="s">
        <v>331</v>
      </c>
      <c r="J155" s="3" t="str">
        <f t="shared" si="2"/>
        <v>Sep</v>
      </c>
      <c r="K155"/>
      <c r="L155"/>
      <c r="M155" s="6"/>
      <c r="N155" s="6"/>
      <c r="O155" s="6"/>
      <c r="P155" s="3"/>
      <c r="Q155" s="3"/>
      <c r="R155" s="3"/>
      <c r="S155" s="3"/>
    </row>
    <row r="156" spans="2:19" s="2" customFormat="1" hidden="1" x14ac:dyDescent="0.25">
      <c r="B156">
        <v>10609</v>
      </c>
      <c r="C156" t="s">
        <v>84</v>
      </c>
      <c r="D156" s="6">
        <v>42940</v>
      </c>
      <c r="E156" s="6">
        <v>42968</v>
      </c>
      <c r="F156" s="6">
        <v>42946</v>
      </c>
      <c r="G156" s="3" t="s">
        <v>645</v>
      </c>
      <c r="H156" s="3">
        <v>9.25</v>
      </c>
      <c r="I156" s="3" t="s">
        <v>331</v>
      </c>
      <c r="J156" s="3" t="str">
        <f t="shared" si="2"/>
        <v>Jul</v>
      </c>
      <c r="K156"/>
      <c r="L156"/>
      <c r="M156" s="6"/>
      <c r="N156" s="6"/>
      <c r="O156" s="6"/>
      <c r="P156" s="3"/>
      <c r="Q156" s="3"/>
      <c r="R156" s="3"/>
      <c r="S156" s="3"/>
    </row>
    <row r="157" spans="2:19" s="2" customFormat="1" hidden="1" x14ac:dyDescent="0.25">
      <c r="B157">
        <v>10683</v>
      </c>
      <c r="C157" t="s">
        <v>84</v>
      </c>
      <c r="D157" s="6">
        <v>43004</v>
      </c>
      <c r="E157" s="6">
        <v>43032</v>
      </c>
      <c r="F157" s="6">
        <v>43009</v>
      </c>
      <c r="G157" s="3" t="s">
        <v>644</v>
      </c>
      <c r="H157" s="3">
        <v>22</v>
      </c>
      <c r="I157" s="3" t="s">
        <v>331</v>
      </c>
      <c r="J157" s="3" t="str">
        <f t="shared" si="2"/>
        <v>Sep</v>
      </c>
      <c r="K157"/>
      <c r="L157"/>
      <c r="M157" s="6"/>
      <c r="N157" s="6"/>
      <c r="O157" s="6"/>
      <c r="P157" s="3"/>
      <c r="Q157" s="3"/>
      <c r="R157" s="3"/>
      <c r="S157" s="3"/>
    </row>
    <row r="158" spans="2:19" s="2" customFormat="1" hidden="1" x14ac:dyDescent="0.25">
      <c r="B158">
        <v>10890</v>
      </c>
      <c r="C158" t="s">
        <v>84</v>
      </c>
      <c r="D158" s="6">
        <v>43147</v>
      </c>
      <c r="E158" s="6">
        <v>43175</v>
      </c>
      <c r="F158" s="6">
        <v>43149</v>
      </c>
      <c r="G158" s="3" t="s">
        <v>644</v>
      </c>
      <c r="H158" s="3">
        <v>163.79999999999998</v>
      </c>
      <c r="I158" s="3" t="s">
        <v>331</v>
      </c>
      <c r="J158" s="3" t="str">
        <f t="shared" si="2"/>
        <v>Feb</v>
      </c>
      <c r="K158"/>
      <c r="L158"/>
      <c r="M158" s="6"/>
      <c r="N158" s="6"/>
      <c r="O158" s="6"/>
      <c r="P158" s="3"/>
      <c r="Q158" s="3"/>
      <c r="R158" s="3"/>
      <c r="S158" s="3"/>
    </row>
    <row r="159" spans="2:19" s="2" customFormat="1" hidden="1" x14ac:dyDescent="0.25">
      <c r="B159">
        <v>10364</v>
      </c>
      <c r="C159" t="s">
        <v>87</v>
      </c>
      <c r="D159" s="6">
        <v>42700</v>
      </c>
      <c r="E159" s="6">
        <v>42742</v>
      </c>
      <c r="F159" s="6">
        <v>42708</v>
      </c>
      <c r="G159" s="3" t="s">
        <v>644</v>
      </c>
      <c r="H159" s="3">
        <v>359.85</v>
      </c>
      <c r="I159" s="3" t="s">
        <v>16</v>
      </c>
      <c r="J159" s="3" t="str">
        <f t="shared" si="2"/>
        <v>Nov</v>
      </c>
      <c r="K159"/>
      <c r="L159"/>
      <c r="M159" s="6"/>
      <c r="N159" s="6"/>
      <c r="O159" s="6"/>
      <c r="P159" s="3"/>
      <c r="Q159" s="3"/>
      <c r="R159" s="3"/>
      <c r="S159" s="3"/>
    </row>
    <row r="160" spans="2:19" s="2" customFormat="1" hidden="1" x14ac:dyDescent="0.25">
      <c r="B160">
        <v>10400</v>
      </c>
      <c r="C160" t="s">
        <v>87</v>
      </c>
      <c r="D160" s="6">
        <v>42736</v>
      </c>
      <c r="E160" s="6">
        <v>42764</v>
      </c>
      <c r="F160" s="6">
        <v>42751</v>
      </c>
      <c r="G160" s="3" t="s">
        <v>646</v>
      </c>
      <c r="H160" s="3">
        <v>419.65000000000003</v>
      </c>
      <c r="I160" s="3" t="s">
        <v>16</v>
      </c>
      <c r="J160" s="3" t="str">
        <f t="shared" si="2"/>
        <v>Jan</v>
      </c>
      <c r="K160"/>
      <c r="L160"/>
      <c r="M160" s="6"/>
      <c r="N160" s="6"/>
      <c r="O160" s="6"/>
      <c r="P160" s="3"/>
      <c r="Q160" s="3"/>
      <c r="R160" s="3"/>
      <c r="S160" s="3"/>
    </row>
    <row r="161" spans="2:19" s="2" customFormat="1" hidden="1" x14ac:dyDescent="0.25">
      <c r="B161">
        <v>10532</v>
      </c>
      <c r="C161" t="s">
        <v>87</v>
      </c>
      <c r="D161" s="6">
        <v>42864</v>
      </c>
      <c r="E161" s="6">
        <v>42892</v>
      </c>
      <c r="F161" s="6">
        <v>42867</v>
      </c>
      <c r="G161" s="3" t="s">
        <v>646</v>
      </c>
      <c r="H161" s="3">
        <v>372.29999999999995</v>
      </c>
      <c r="I161" s="3" t="s">
        <v>16</v>
      </c>
      <c r="J161" s="3" t="str">
        <f t="shared" si="2"/>
        <v>May</v>
      </c>
      <c r="K161"/>
      <c r="L161"/>
      <c r="M161" s="6"/>
      <c r="N161" s="6"/>
      <c r="O161" s="6"/>
      <c r="P161" s="3"/>
      <c r="Q161" s="3"/>
      <c r="R161" s="3"/>
      <c r="S161" s="3"/>
    </row>
    <row r="162" spans="2:19" s="2" customFormat="1" hidden="1" x14ac:dyDescent="0.25">
      <c r="B162">
        <v>10726</v>
      </c>
      <c r="C162" t="s">
        <v>87</v>
      </c>
      <c r="D162" s="6">
        <v>43042</v>
      </c>
      <c r="E162" s="6">
        <v>43056</v>
      </c>
      <c r="F162" s="6">
        <v>43074</v>
      </c>
      <c r="G162" s="3" t="s">
        <v>644</v>
      </c>
      <c r="H162" s="3">
        <v>82.8</v>
      </c>
      <c r="I162" s="3" t="s">
        <v>16</v>
      </c>
      <c r="J162" s="3" t="str">
        <f t="shared" si="2"/>
        <v>Nov</v>
      </c>
      <c r="K162"/>
      <c r="L162"/>
      <c r="M162" s="6"/>
      <c r="N162" s="6"/>
      <c r="O162" s="6"/>
      <c r="P162" s="3"/>
      <c r="Q162" s="3"/>
      <c r="R162" s="3"/>
      <c r="S162" s="3"/>
    </row>
    <row r="163" spans="2:19" s="2" customFormat="1" hidden="1" x14ac:dyDescent="0.25">
      <c r="B163">
        <v>10987</v>
      </c>
      <c r="C163" t="s">
        <v>87</v>
      </c>
      <c r="D163" s="6">
        <v>43190</v>
      </c>
      <c r="E163" s="6">
        <v>43218</v>
      </c>
      <c r="F163" s="6">
        <v>43196</v>
      </c>
      <c r="G163" s="3" t="s">
        <v>644</v>
      </c>
      <c r="H163" s="3">
        <v>927.4</v>
      </c>
      <c r="I163" s="3" t="s">
        <v>16</v>
      </c>
      <c r="J163" s="3" t="str">
        <f t="shared" si="2"/>
        <v>Mar</v>
      </c>
      <c r="K163"/>
      <c r="L163"/>
      <c r="M163" s="6"/>
      <c r="N163" s="6"/>
      <c r="O163" s="6"/>
      <c r="P163" s="3"/>
      <c r="Q163" s="3"/>
      <c r="R163" s="3"/>
      <c r="S163" s="3"/>
    </row>
    <row r="164" spans="2:19" s="2" customFormat="1" hidden="1" x14ac:dyDescent="0.25">
      <c r="B164">
        <v>11024</v>
      </c>
      <c r="C164" t="s">
        <v>87</v>
      </c>
      <c r="D164" s="6">
        <v>43205</v>
      </c>
      <c r="E164" s="6">
        <v>43233</v>
      </c>
      <c r="F164" s="6">
        <v>43210</v>
      </c>
      <c r="G164" s="3" t="s">
        <v>644</v>
      </c>
      <c r="H164" s="3">
        <v>371.8</v>
      </c>
      <c r="I164" s="3" t="s">
        <v>16</v>
      </c>
      <c r="J164" s="3" t="str">
        <f t="shared" si="2"/>
        <v>Apr</v>
      </c>
      <c r="K164"/>
      <c r="L164"/>
      <c r="M164" s="6"/>
      <c r="N164" s="6"/>
      <c r="O164" s="6"/>
      <c r="P164" s="3"/>
      <c r="Q164" s="3"/>
      <c r="R164" s="3"/>
      <c r="S164" s="3"/>
    </row>
    <row r="165" spans="2:19" s="2" customFormat="1" hidden="1" x14ac:dyDescent="0.25">
      <c r="B165">
        <v>11047</v>
      </c>
      <c r="C165" t="s">
        <v>87</v>
      </c>
      <c r="D165" s="6">
        <v>43214</v>
      </c>
      <c r="E165" s="6">
        <v>43242</v>
      </c>
      <c r="F165" s="6">
        <v>43221</v>
      </c>
      <c r="G165" s="3" t="s">
        <v>646</v>
      </c>
      <c r="H165" s="3">
        <v>233.1</v>
      </c>
      <c r="I165" s="3" t="s">
        <v>16</v>
      </c>
      <c r="J165" s="3" t="str">
        <f t="shared" si="2"/>
        <v>Apr</v>
      </c>
      <c r="K165"/>
      <c r="L165"/>
      <c r="M165" s="6"/>
      <c r="N165" s="6"/>
      <c r="O165" s="6"/>
      <c r="P165" s="3"/>
      <c r="Q165" s="3"/>
      <c r="R165" s="3"/>
      <c r="S165" s="3"/>
    </row>
    <row r="166" spans="2:19" s="2" customFormat="1" hidden="1" x14ac:dyDescent="0.25">
      <c r="B166">
        <v>11056</v>
      </c>
      <c r="C166" t="s">
        <v>87</v>
      </c>
      <c r="D166" s="6">
        <v>43218</v>
      </c>
      <c r="E166" s="6">
        <v>43232</v>
      </c>
      <c r="F166" s="6">
        <v>43221</v>
      </c>
      <c r="G166" s="3" t="s">
        <v>645</v>
      </c>
      <c r="H166" s="3">
        <v>1394.8</v>
      </c>
      <c r="I166" s="3" t="s">
        <v>16</v>
      </c>
      <c r="J166" s="3" t="str">
        <f t="shared" si="2"/>
        <v>Apr</v>
      </c>
      <c r="K166"/>
      <c r="L166"/>
      <c r="M166" s="6"/>
      <c r="N166" s="6"/>
      <c r="O166" s="6"/>
      <c r="P166" s="3"/>
      <c r="Q166" s="3"/>
      <c r="R166" s="3"/>
      <c r="S166" s="3"/>
    </row>
    <row r="167" spans="2:19" s="2" customFormat="1" hidden="1" x14ac:dyDescent="0.25">
      <c r="B167">
        <v>10258</v>
      </c>
      <c r="C167" t="s">
        <v>90</v>
      </c>
      <c r="D167" s="6">
        <v>42568</v>
      </c>
      <c r="E167" s="6">
        <v>42596</v>
      </c>
      <c r="F167" s="6">
        <v>42574</v>
      </c>
      <c r="G167" s="3" t="s">
        <v>644</v>
      </c>
      <c r="H167" s="3">
        <v>702.55</v>
      </c>
      <c r="I167" s="3" t="s">
        <v>15</v>
      </c>
      <c r="J167" s="3" t="str">
        <f t="shared" si="2"/>
        <v>Jul</v>
      </c>
      <c r="K167"/>
      <c r="L167"/>
      <c r="M167" s="6"/>
      <c r="N167" s="6"/>
      <c r="O167" s="6"/>
      <c r="P167" s="3"/>
      <c r="Q167" s="3"/>
      <c r="R167" s="3"/>
      <c r="S167" s="3"/>
    </row>
    <row r="168" spans="2:19" s="2" customFormat="1" hidden="1" x14ac:dyDescent="0.25">
      <c r="B168">
        <v>10263</v>
      </c>
      <c r="C168" t="s">
        <v>90</v>
      </c>
      <c r="D168" s="6">
        <v>42574</v>
      </c>
      <c r="E168" s="6">
        <v>42602</v>
      </c>
      <c r="F168" s="6">
        <v>42582</v>
      </c>
      <c r="G168" s="3" t="s">
        <v>646</v>
      </c>
      <c r="H168" s="3">
        <v>730.3</v>
      </c>
      <c r="I168" s="3" t="s">
        <v>15</v>
      </c>
      <c r="J168" s="3" t="str">
        <f t="shared" si="2"/>
        <v>Jul</v>
      </c>
      <c r="K168"/>
      <c r="L168"/>
      <c r="M168" s="6"/>
      <c r="N168" s="6"/>
      <c r="O168" s="6"/>
      <c r="P168" s="3"/>
      <c r="Q168" s="3"/>
      <c r="R168" s="3"/>
      <c r="S168" s="3"/>
    </row>
    <row r="169" spans="2:19" s="2" customFormat="1" hidden="1" x14ac:dyDescent="0.25">
      <c r="B169">
        <v>10351</v>
      </c>
      <c r="C169" t="s">
        <v>90</v>
      </c>
      <c r="D169" s="6">
        <v>42685</v>
      </c>
      <c r="E169" s="6">
        <v>42713</v>
      </c>
      <c r="F169" s="6">
        <v>42694</v>
      </c>
      <c r="G169" s="3" t="s">
        <v>644</v>
      </c>
      <c r="H169" s="3">
        <v>811.65000000000009</v>
      </c>
      <c r="I169" s="3" t="s">
        <v>15</v>
      </c>
      <c r="J169" s="3" t="str">
        <f t="shared" si="2"/>
        <v>Nov</v>
      </c>
      <c r="K169"/>
      <c r="L169"/>
      <c r="M169" s="6"/>
      <c r="N169" s="6"/>
      <c r="O169" s="6"/>
      <c r="P169" s="3"/>
      <c r="Q169" s="3"/>
      <c r="R169" s="3"/>
      <c r="S169" s="3"/>
    </row>
    <row r="170" spans="2:19" s="2" customFormat="1" hidden="1" x14ac:dyDescent="0.25">
      <c r="B170">
        <v>10368</v>
      </c>
      <c r="C170" t="s">
        <v>90</v>
      </c>
      <c r="D170" s="6">
        <v>42703</v>
      </c>
      <c r="E170" s="6">
        <v>42731</v>
      </c>
      <c r="F170" s="6">
        <v>42706</v>
      </c>
      <c r="G170" s="3" t="s">
        <v>645</v>
      </c>
      <c r="H170" s="3">
        <v>509.75</v>
      </c>
      <c r="I170" s="3" t="s">
        <v>15</v>
      </c>
      <c r="J170" s="3" t="str">
        <f t="shared" si="2"/>
        <v>Nov</v>
      </c>
      <c r="K170"/>
      <c r="L170"/>
      <c r="M170" s="6"/>
      <c r="N170" s="6"/>
      <c r="O170" s="6"/>
      <c r="P170" s="3"/>
      <c r="Q170" s="3"/>
      <c r="R170" s="3"/>
      <c r="S170" s="3"/>
    </row>
    <row r="171" spans="2:19" s="2" customFormat="1" hidden="1" x14ac:dyDescent="0.25">
      <c r="B171">
        <v>10382</v>
      </c>
      <c r="C171" t="s">
        <v>90</v>
      </c>
      <c r="D171" s="6">
        <v>42717</v>
      </c>
      <c r="E171" s="6">
        <v>42745</v>
      </c>
      <c r="F171" s="6">
        <v>42720</v>
      </c>
      <c r="G171" s="3" t="s">
        <v>644</v>
      </c>
      <c r="H171" s="3">
        <v>473.84999999999997</v>
      </c>
      <c r="I171" s="3" t="s">
        <v>15</v>
      </c>
      <c r="J171" s="3" t="str">
        <f t="shared" si="2"/>
        <v>Dec</v>
      </c>
      <c r="K171"/>
      <c r="L171"/>
      <c r="M171" s="6"/>
      <c r="N171" s="6"/>
      <c r="O171" s="6"/>
      <c r="P171" s="3"/>
      <c r="Q171" s="3"/>
      <c r="R171" s="3"/>
      <c r="S171" s="3"/>
    </row>
    <row r="172" spans="2:19" s="2" customFormat="1" hidden="1" x14ac:dyDescent="0.25">
      <c r="B172">
        <v>10390</v>
      </c>
      <c r="C172" t="s">
        <v>90</v>
      </c>
      <c r="D172" s="6">
        <v>42727</v>
      </c>
      <c r="E172" s="6">
        <v>42755</v>
      </c>
      <c r="F172" s="6">
        <v>42730</v>
      </c>
      <c r="G172" s="3" t="s">
        <v>644</v>
      </c>
      <c r="H172" s="3">
        <v>631.9</v>
      </c>
      <c r="I172" s="3" t="s">
        <v>15</v>
      </c>
      <c r="J172" s="3" t="str">
        <f t="shared" si="2"/>
        <v>Dec</v>
      </c>
      <c r="K172"/>
      <c r="L172"/>
      <c r="M172" s="6"/>
      <c r="N172" s="6"/>
      <c r="O172" s="6"/>
      <c r="P172" s="3"/>
      <c r="Q172" s="3"/>
      <c r="R172" s="3"/>
      <c r="S172" s="3"/>
    </row>
    <row r="173" spans="2:19" s="2" customFormat="1" hidden="1" x14ac:dyDescent="0.25">
      <c r="B173">
        <v>10402</v>
      </c>
      <c r="C173" t="s">
        <v>90</v>
      </c>
      <c r="D173" s="6">
        <v>42737</v>
      </c>
      <c r="E173" s="6">
        <v>42779</v>
      </c>
      <c r="F173" s="6">
        <v>42745</v>
      </c>
      <c r="G173" s="3" t="s">
        <v>645</v>
      </c>
      <c r="H173" s="3">
        <v>339.4</v>
      </c>
      <c r="I173" s="3" t="s">
        <v>15</v>
      </c>
      <c r="J173" s="3" t="str">
        <f t="shared" si="2"/>
        <v>Jan</v>
      </c>
      <c r="K173"/>
      <c r="L173"/>
      <c r="M173" s="6"/>
      <c r="N173" s="6"/>
      <c r="O173" s="6"/>
      <c r="P173" s="3"/>
      <c r="Q173" s="3"/>
      <c r="R173" s="3"/>
      <c r="S173" s="3"/>
    </row>
    <row r="174" spans="2:19" s="2" customFormat="1" hidden="1" x14ac:dyDescent="0.25">
      <c r="B174">
        <v>10403</v>
      </c>
      <c r="C174" t="s">
        <v>90</v>
      </c>
      <c r="D174" s="6">
        <v>42738</v>
      </c>
      <c r="E174" s="6">
        <v>42766</v>
      </c>
      <c r="F174" s="6">
        <v>42744</v>
      </c>
      <c r="G174" s="3" t="s">
        <v>646</v>
      </c>
      <c r="H174" s="3">
        <v>368.95000000000005</v>
      </c>
      <c r="I174" s="3" t="s">
        <v>15</v>
      </c>
      <c r="J174" s="3" t="str">
        <f t="shared" si="2"/>
        <v>Jan</v>
      </c>
      <c r="K174"/>
      <c r="L174"/>
      <c r="M174" s="6"/>
      <c r="N174" s="6"/>
      <c r="O174" s="6"/>
      <c r="P174" s="3"/>
      <c r="Q174" s="3"/>
      <c r="R174" s="3"/>
      <c r="S174" s="3"/>
    </row>
    <row r="175" spans="2:19" s="2" customFormat="1" hidden="1" x14ac:dyDescent="0.25">
      <c r="B175">
        <v>10430</v>
      </c>
      <c r="C175" t="s">
        <v>90</v>
      </c>
      <c r="D175" s="6">
        <v>42765</v>
      </c>
      <c r="E175" s="6">
        <v>42779</v>
      </c>
      <c r="F175" s="6">
        <v>42769</v>
      </c>
      <c r="G175" s="3" t="s">
        <v>644</v>
      </c>
      <c r="H175" s="3">
        <v>2293.8999999999996</v>
      </c>
      <c r="I175" s="3" t="s">
        <v>15</v>
      </c>
      <c r="J175" s="3" t="str">
        <f t="shared" si="2"/>
        <v>Jan</v>
      </c>
      <c r="K175"/>
      <c r="L175"/>
      <c r="M175" s="6"/>
      <c r="N175" s="6"/>
      <c r="O175" s="6"/>
      <c r="P175" s="3"/>
      <c r="Q175" s="3"/>
      <c r="R175" s="3"/>
      <c r="S175" s="3"/>
    </row>
    <row r="176" spans="2:19" s="2" customFormat="1" hidden="1" x14ac:dyDescent="0.25">
      <c r="B176">
        <v>10442</v>
      </c>
      <c r="C176" t="s">
        <v>90</v>
      </c>
      <c r="D176" s="6">
        <v>42777</v>
      </c>
      <c r="E176" s="6">
        <v>42805</v>
      </c>
      <c r="F176" s="6">
        <v>42784</v>
      </c>
      <c r="G176" s="3" t="s">
        <v>645</v>
      </c>
      <c r="H176" s="3">
        <v>239.7</v>
      </c>
      <c r="I176" s="3" t="s">
        <v>15</v>
      </c>
      <c r="J176" s="3" t="str">
        <f t="shared" si="2"/>
        <v>Feb</v>
      </c>
      <c r="K176"/>
      <c r="L176"/>
      <c r="M176" s="6"/>
      <c r="N176" s="6"/>
      <c r="O176" s="6"/>
      <c r="P176" s="3"/>
      <c r="Q176" s="3"/>
      <c r="R176" s="3"/>
      <c r="S176" s="3"/>
    </row>
    <row r="177" spans="2:19" s="2" customFormat="1" hidden="1" x14ac:dyDescent="0.25">
      <c r="B177">
        <v>10514</v>
      </c>
      <c r="C177" t="s">
        <v>90</v>
      </c>
      <c r="D177" s="6">
        <v>42847</v>
      </c>
      <c r="E177" s="6">
        <v>42875</v>
      </c>
      <c r="F177" s="6">
        <v>42871</v>
      </c>
      <c r="G177" s="3" t="s">
        <v>645</v>
      </c>
      <c r="H177" s="3">
        <v>3949.75</v>
      </c>
      <c r="I177" s="3" t="s">
        <v>15</v>
      </c>
      <c r="J177" s="3" t="str">
        <f t="shared" si="2"/>
        <v>Apr</v>
      </c>
      <c r="K177"/>
      <c r="L177"/>
      <c r="M177" s="6"/>
      <c r="N177" s="6"/>
      <c r="O177" s="6"/>
      <c r="P177" s="3"/>
      <c r="Q177" s="3"/>
      <c r="R177" s="3"/>
      <c r="S177" s="3"/>
    </row>
    <row r="178" spans="2:19" s="2" customFormat="1" hidden="1" x14ac:dyDescent="0.25">
      <c r="B178">
        <v>10571</v>
      </c>
      <c r="C178" t="s">
        <v>90</v>
      </c>
      <c r="D178" s="6">
        <v>42903</v>
      </c>
      <c r="E178" s="6">
        <v>42945</v>
      </c>
      <c r="F178" s="6">
        <v>42920</v>
      </c>
      <c r="G178" s="3" t="s">
        <v>646</v>
      </c>
      <c r="H178" s="3">
        <v>130.29999999999998</v>
      </c>
      <c r="I178" s="3" t="s">
        <v>15</v>
      </c>
      <c r="J178" s="3" t="str">
        <f t="shared" si="2"/>
        <v>Jun</v>
      </c>
      <c r="K178"/>
      <c r="L178"/>
      <c r="M178" s="6"/>
      <c r="N178" s="6"/>
      <c r="O178" s="6"/>
      <c r="P178" s="3"/>
      <c r="Q178" s="3"/>
      <c r="R178" s="3"/>
      <c r="S178" s="3"/>
    </row>
    <row r="179" spans="2:19" s="2" customFormat="1" hidden="1" x14ac:dyDescent="0.25">
      <c r="B179">
        <v>10595</v>
      </c>
      <c r="C179" t="s">
        <v>90</v>
      </c>
      <c r="D179" s="6">
        <v>42926</v>
      </c>
      <c r="E179" s="6">
        <v>42954</v>
      </c>
      <c r="F179" s="6">
        <v>42930</v>
      </c>
      <c r="G179" s="3" t="s">
        <v>644</v>
      </c>
      <c r="H179" s="3">
        <v>483.9</v>
      </c>
      <c r="I179" s="3" t="s">
        <v>15</v>
      </c>
      <c r="J179" s="3" t="str">
        <f t="shared" si="2"/>
        <v>Jul</v>
      </c>
      <c r="K179"/>
      <c r="L179"/>
      <c r="M179" s="6"/>
      <c r="N179" s="6"/>
      <c r="O179" s="6"/>
      <c r="P179" s="3"/>
      <c r="Q179" s="3"/>
      <c r="R179" s="3"/>
      <c r="S179" s="3"/>
    </row>
    <row r="180" spans="2:19" s="2" customFormat="1" hidden="1" x14ac:dyDescent="0.25">
      <c r="B180">
        <v>10633</v>
      </c>
      <c r="C180" t="s">
        <v>90</v>
      </c>
      <c r="D180" s="6">
        <v>42962</v>
      </c>
      <c r="E180" s="6">
        <v>42990</v>
      </c>
      <c r="F180" s="6">
        <v>42965</v>
      </c>
      <c r="G180" s="3" t="s">
        <v>646</v>
      </c>
      <c r="H180" s="3">
        <v>2389.5</v>
      </c>
      <c r="I180" s="3" t="s">
        <v>15</v>
      </c>
      <c r="J180" s="3" t="str">
        <f t="shared" si="2"/>
        <v>Aug</v>
      </c>
      <c r="K180"/>
      <c r="L180"/>
      <c r="M180" s="6"/>
      <c r="N180" s="6"/>
      <c r="O180" s="6"/>
      <c r="P180" s="3"/>
      <c r="Q180" s="3"/>
      <c r="R180" s="3"/>
      <c r="S180" s="3"/>
    </row>
    <row r="181" spans="2:19" s="2" customFormat="1" hidden="1" x14ac:dyDescent="0.25">
      <c r="B181">
        <v>10667</v>
      </c>
      <c r="C181" t="s">
        <v>90</v>
      </c>
      <c r="D181" s="6">
        <v>42990</v>
      </c>
      <c r="E181" s="6">
        <v>43018</v>
      </c>
      <c r="F181" s="6">
        <v>42997</v>
      </c>
      <c r="G181" s="3" t="s">
        <v>644</v>
      </c>
      <c r="H181" s="3">
        <v>390.45000000000005</v>
      </c>
      <c r="I181" s="3" t="s">
        <v>15</v>
      </c>
      <c r="J181" s="3" t="str">
        <f t="shared" si="2"/>
        <v>Sep</v>
      </c>
      <c r="K181"/>
      <c r="L181"/>
      <c r="M181" s="6"/>
      <c r="N181" s="6"/>
      <c r="O181" s="6"/>
      <c r="P181" s="3"/>
      <c r="Q181" s="3"/>
      <c r="R181" s="3"/>
      <c r="S181" s="3"/>
    </row>
    <row r="182" spans="2:19" s="2" customFormat="1" hidden="1" x14ac:dyDescent="0.25">
      <c r="B182">
        <v>10698</v>
      </c>
      <c r="C182" t="s">
        <v>90</v>
      </c>
      <c r="D182" s="6">
        <v>43017</v>
      </c>
      <c r="E182" s="6">
        <v>43045</v>
      </c>
      <c r="F182" s="6">
        <v>43025</v>
      </c>
      <c r="G182" s="3" t="s">
        <v>644</v>
      </c>
      <c r="H182" s="3">
        <v>1362.3500000000001</v>
      </c>
      <c r="I182" s="3" t="s">
        <v>15</v>
      </c>
      <c r="J182" s="3" t="str">
        <f t="shared" si="2"/>
        <v>Oct</v>
      </c>
      <c r="K182"/>
      <c r="L182"/>
      <c r="M182" s="6"/>
      <c r="N182" s="6"/>
      <c r="O182" s="6"/>
      <c r="P182" s="3"/>
      <c r="Q182" s="3"/>
      <c r="R182" s="3"/>
      <c r="S182" s="3"/>
    </row>
    <row r="183" spans="2:19" s="2" customFormat="1" hidden="1" x14ac:dyDescent="0.25">
      <c r="B183">
        <v>10764</v>
      </c>
      <c r="C183" t="s">
        <v>90</v>
      </c>
      <c r="D183" s="6">
        <v>43072</v>
      </c>
      <c r="E183" s="6">
        <v>43100</v>
      </c>
      <c r="F183" s="6">
        <v>43077</v>
      </c>
      <c r="G183" s="3" t="s">
        <v>646</v>
      </c>
      <c r="H183" s="3">
        <v>727.25</v>
      </c>
      <c r="I183" s="3" t="s">
        <v>15</v>
      </c>
      <c r="J183" s="3" t="str">
        <f t="shared" si="2"/>
        <v>Dec</v>
      </c>
      <c r="K183"/>
      <c r="L183"/>
      <c r="M183" s="6"/>
      <c r="N183" s="6"/>
      <c r="O183" s="6"/>
      <c r="P183" s="3"/>
      <c r="Q183" s="3"/>
      <c r="R183" s="3"/>
      <c r="S183" s="3"/>
    </row>
    <row r="184" spans="2:19" s="2" customFormat="1" hidden="1" x14ac:dyDescent="0.25">
      <c r="B184">
        <v>10771</v>
      </c>
      <c r="C184" t="s">
        <v>90</v>
      </c>
      <c r="D184" s="6">
        <v>43079</v>
      </c>
      <c r="E184" s="6">
        <v>43107</v>
      </c>
      <c r="F184" s="6">
        <v>43102</v>
      </c>
      <c r="G184" s="3" t="s">
        <v>645</v>
      </c>
      <c r="H184" s="3">
        <v>55.949999999999996</v>
      </c>
      <c r="I184" s="3" t="s">
        <v>15</v>
      </c>
      <c r="J184" s="3" t="str">
        <f t="shared" si="2"/>
        <v>Dec</v>
      </c>
      <c r="K184"/>
      <c r="L184"/>
      <c r="M184" s="6"/>
      <c r="N184" s="6"/>
      <c r="O184" s="6"/>
      <c r="P184" s="3"/>
      <c r="Q184" s="3"/>
      <c r="R184" s="3"/>
      <c r="S184" s="3"/>
    </row>
    <row r="185" spans="2:19" s="2" customFormat="1" hidden="1" x14ac:dyDescent="0.25">
      <c r="B185">
        <v>10773</v>
      </c>
      <c r="C185" t="s">
        <v>90</v>
      </c>
      <c r="D185" s="6">
        <v>43080</v>
      </c>
      <c r="E185" s="6">
        <v>43108</v>
      </c>
      <c r="F185" s="6">
        <v>43085</v>
      </c>
      <c r="G185" s="3" t="s">
        <v>646</v>
      </c>
      <c r="H185" s="3">
        <v>482.15000000000003</v>
      </c>
      <c r="I185" s="3" t="s">
        <v>15</v>
      </c>
      <c r="J185" s="3" t="str">
        <f t="shared" si="2"/>
        <v>Dec</v>
      </c>
      <c r="K185"/>
      <c r="L185"/>
      <c r="M185" s="6"/>
      <c r="N185" s="6"/>
      <c r="O185" s="6"/>
      <c r="P185" s="3"/>
      <c r="Q185" s="3"/>
      <c r="R185" s="3"/>
      <c r="S185" s="3"/>
    </row>
    <row r="186" spans="2:19" s="2" customFormat="1" hidden="1" x14ac:dyDescent="0.25">
      <c r="B186">
        <v>10776</v>
      </c>
      <c r="C186" t="s">
        <v>90</v>
      </c>
      <c r="D186" s="6">
        <v>43084</v>
      </c>
      <c r="E186" s="6">
        <v>43112</v>
      </c>
      <c r="F186" s="6">
        <v>43087</v>
      </c>
      <c r="G186" s="3" t="s">
        <v>646</v>
      </c>
      <c r="H186" s="3">
        <v>1757.6499999999999</v>
      </c>
      <c r="I186" s="3" t="s">
        <v>15</v>
      </c>
      <c r="J186" s="3" t="str">
        <f t="shared" si="2"/>
        <v>Dec</v>
      </c>
      <c r="K186"/>
      <c r="L186"/>
      <c r="M186" s="6"/>
      <c r="N186" s="6"/>
      <c r="O186" s="6"/>
      <c r="P186" s="3"/>
      <c r="Q186" s="3"/>
      <c r="R186" s="3"/>
      <c r="S186" s="3"/>
    </row>
    <row r="187" spans="2:19" s="2" customFormat="1" hidden="1" x14ac:dyDescent="0.25">
      <c r="B187">
        <v>10795</v>
      </c>
      <c r="C187" t="s">
        <v>90</v>
      </c>
      <c r="D187" s="6">
        <v>43093</v>
      </c>
      <c r="E187" s="6">
        <v>43121</v>
      </c>
      <c r="F187" s="6">
        <v>43120</v>
      </c>
      <c r="G187" s="3" t="s">
        <v>645</v>
      </c>
      <c r="H187" s="3">
        <v>633.29999999999995</v>
      </c>
      <c r="I187" s="3" t="s">
        <v>15</v>
      </c>
      <c r="J187" s="3" t="str">
        <f t="shared" si="2"/>
        <v>Dec</v>
      </c>
      <c r="K187"/>
      <c r="L187"/>
      <c r="M187" s="6"/>
      <c r="N187" s="6"/>
      <c r="O187" s="6"/>
      <c r="P187" s="3"/>
      <c r="Q187" s="3"/>
      <c r="R187" s="3"/>
      <c r="S187" s="3"/>
    </row>
    <row r="188" spans="2:19" s="2" customFormat="1" hidden="1" x14ac:dyDescent="0.25">
      <c r="B188">
        <v>10836</v>
      </c>
      <c r="C188" t="s">
        <v>90</v>
      </c>
      <c r="D188" s="6">
        <v>43116</v>
      </c>
      <c r="E188" s="6">
        <v>43144</v>
      </c>
      <c r="F188" s="6">
        <v>43121</v>
      </c>
      <c r="G188" s="3" t="s">
        <v>644</v>
      </c>
      <c r="H188" s="3">
        <v>2059.4</v>
      </c>
      <c r="I188" s="3" t="s">
        <v>15</v>
      </c>
      <c r="J188" s="3" t="str">
        <f t="shared" si="2"/>
        <v>Jan</v>
      </c>
      <c r="K188"/>
      <c r="L188"/>
      <c r="M188" s="6"/>
      <c r="N188" s="6"/>
      <c r="O188" s="6"/>
      <c r="P188" s="3"/>
      <c r="Q188" s="3"/>
      <c r="R188" s="3"/>
      <c r="S188" s="3"/>
    </row>
    <row r="189" spans="2:19" s="2" customFormat="1" hidden="1" x14ac:dyDescent="0.25">
      <c r="B189">
        <v>10854</v>
      </c>
      <c r="C189" t="s">
        <v>90</v>
      </c>
      <c r="D189" s="6">
        <v>43127</v>
      </c>
      <c r="E189" s="6">
        <v>43155</v>
      </c>
      <c r="F189" s="6">
        <v>43136</v>
      </c>
      <c r="G189" s="3" t="s">
        <v>645</v>
      </c>
      <c r="H189" s="3">
        <v>501.1</v>
      </c>
      <c r="I189" s="3" t="s">
        <v>15</v>
      </c>
      <c r="J189" s="3" t="str">
        <f t="shared" si="2"/>
        <v>Jan</v>
      </c>
      <c r="K189"/>
      <c r="L189"/>
      <c r="M189" s="6"/>
      <c r="N189" s="6"/>
      <c r="O189" s="6"/>
      <c r="P189" s="3"/>
      <c r="Q189" s="3"/>
      <c r="R189" s="3"/>
      <c r="S189" s="3"/>
    </row>
    <row r="190" spans="2:19" s="2" customFormat="1" hidden="1" x14ac:dyDescent="0.25">
      <c r="B190">
        <v>10895</v>
      </c>
      <c r="C190" t="s">
        <v>90</v>
      </c>
      <c r="D190" s="6">
        <v>43149</v>
      </c>
      <c r="E190" s="6">
        <v>43177</v>
      </c>
      <c r="F190" s="6">
        <v>43154</v>
      </c>
      <c r="G190" s="3" t="s">
        <v>644</v>
      </c>
      <c r="H190" s="3">
        <v>813.75</v>
      </c>
      <c r="I190" s="3" t="s">
        <v>15</v>
      </c>
      <c r="J190" s="3" t="str">
        <f t="shared" si="2"/>
        <v>Feb</v>
      </c>
      <c r="K190"/>
      <c r="L190"/>
      <c r="M190" s="6"/>
      <c r="N190" s="6"/>
      <c r="O190" s="6"/>
      <c r="P190" s="3"/>
      <c r="Q190" s="3"/>
      <c r="R190" s="3"/>
      <c r="S190" s="3"/>
    </row>
    <row r="191" spans="2:19" s="2" customFormat="1" hidden="1" x14ac:dyDescent="0.25">
      <c r="B191">
        <v>10968</v>
      </c>
      <c r="C191" t="s">
        <v>90</v>
      </c>
      <c r="D191" s="6">
        <v>43182</v>
      </c>
      <c r="E191" s="6">
        <v>43210</v>
      </c>
      <c r="F191" s="6">
        <v>43191</v>
      </c>
      <c r="G191" s="3" t="s">
        <v>646</v>
      </c>
      <c r="H191" s="3">
        <v>373</v>
      </c>
      <c r="I191" s="3" t="s">
        <v>15</v>
      </c>
      <c r="J191" s="3" t="str">
        <f t="shared" si="2"/>
        <v>Mar</v>
      </c>
      <c r="K191"/>
      <c r="L191"/>
      <c r="M191" s="6"/>
      <c r="N191" s="6"/>
      <c r="O191" s="6"/>
      <c r="P191" s="3"/>
      <c r="Q191" s="3"/>
      <c r="R191" s="3"/>
      <c r="S191" s="3"/>
    </row>
    <row r="192" spans="2:19" s="2" customFormat="1" hidden="1" x14ac:dyDescent="0.25">
      <c r="B192">
        <v>10979</v>
      </c>
      <c r="C192" t="s">
        <v>90</v>
      </c>
      <c r="D192" s="6">
        <v>43185</v>
      </c>
      <c r="E192" s="6">
        <v>43213</v>
      </c>
      <c r="F192" s="6">
        <v>43190</v>
      </c>
      <c r="G192" s="3" t="s">
        <v>645</v>
      </c>
      <c r="H192" s="3">
        <v>1765.35</v>
      </c>
      <c r="I192" s="3" t="s">
        <v>15</v>
      </c>
      <c r="J192" s="3" t="str">
        <f t="shared" si="2"/>
        <v>Mar</v>
      </c>
      <c r="K192"/>
      <c r="L192"/>
      <c r="M192" s="6"/>
      <c r="N192" s="6"/>
      <c r="O192" s="6"/>
      <c r="P192" s="3"/>
      <c r="Q192" s="3"/>
      <c r="R192" s="3"/>
      <c r="S192" s="3"/>
    </row>
    <row r="193" spans="2:19" s="2" customFormat="1" hidden="1" x14ac:dyDescent="0.25">
      <c r="B193">
        <v>10990</v>
      </c>
      <c r="C193" t="s">
        <v>90</v>
      </c>
      <c r="D193" s="6">
        <v>43191</v>
      </c>
      <c r="E193" s="6">
        <v>43233</v>
      </c>
      <c r="F193" s="6">
        <v>43197</v>
      </c>
      <c r="G193" s="3" t="s">
        <v>646</v>
      </c>
      <c r="H193" s="3">
        <v>588.04999999999995</v>
      </c>
      <c r="I193" s="3" t="s">
        <v>15</v>
      </c>
      <c r="J193" s="3" t="str">
        <f t="shared" si="2"/>
        <v>Apr</v>
      </c>
      <c r="K193"/>
      <c r="L193"/>
      <c r="M193" s="6"/>
      <c r="N193" s="6"/>
      <c r="O193" s="6"/>
      <c r="P193" s="3"/>
      <c r="Q193" s="3"/>
      <c r="R193" s="3"/>
      <c r="S193" s="3"/>
    </row>
    <row r="194" spans="2:19" s="2" customFormat="1" hidden="1" x14ac:dyDescent="0.25">
      <c r="B194">
        <v>11008</v>
      </c>
      <c r="C194" t="s">
        <v>90</v>
      </c>
      <c r="D194" s="6">
        <v>43198</v>
      </c>
      <c r="E194" s="6">
        <v>43226</v>
      </c>
      <c r="F194" s="6"/>
      <c r="G194" s="3" t="s">
        <v>646</v>
      </c>
      <c r="H194" s="3">
        <v>397.29999999999995</v>
      </c>
      <c r="I194" s="3" t="s">
        <v>15</v>
      </c>
      <c r="J194" s="3" t="str">
        <f t="shared" si="2"/>
        <v>Apr</v>
      </c>
      <c r="K194"/>
      <c r="L194"/>
      <c r="M194" s="6"/>
      <c r="N194" s="6"/>
      <c r="O194" s="6"/>
      <c r="P194" s="3"/>
      <c r="Q194" s="3"/>
      <c r="R194" s="3"/>
      <c r="S194" s="3"/>
    </row>
    <row r="195" spans="2:19" s="2" customFormat="1" hidden="1" x14ac:dyDescent="0.25">
      <c r="B195">
        <v>11017</v>
      </c>
      <c r="C195" t="s">
        <v>90</v>
      </c>
      <c r="D195" s="6">
        <v>43203</v>
      </c>
      <c r="E195" s="6">
        <v>43231</v>
      </c>
      <c r="F195" s="6">
        <v>43210</v>
      </c>
      <c r="G195" s="3" t="s">
        <v>645</v>
      </c>
      <c r="H195" s="3">
        <v>3771.3</v>
      </c>
      <c r="I195" s="3" t="s">
        <v>15</v>
      </c>
      <c r="J195" s="3" t="str">
        <f t="shared" si="2"/>
        <v>Apr</v>
      </c>
      <c r="K195"/>
      <c r="L195"/>
      <c r="M195" s="6"/>
      <c r="N195" s="6"/>
      <c r="O195" s="6"/>
      <c r="P195" s="3"/>
      <c r="Q195" s="3"/>
      <c r="R195" s="3"/>
      <c r="S195" s="3"/>
    </row>
    <row r="196" spans="2:19" s="2" customFormat="1" hidden="1" x14ac:dyDescent="0.25">
      <c r="B196">
        <v>11072</v>
      </c>
      <c r="C196" t="s">
        <v>90</v>
      </c>
      <c r="D196" s="6">
        <v>43225</v>
      </c>
      <c r="E196" s="6">
        <v>43253</v>
      </c>
      <c r="F196" s="6"/>
      <c r="G196" s="3" t="s">
        <v>645</v>
      </c>
      <c r="H196" s="3">
        <v>1293.1999999999998</v>
      </c>
      <c r="I196" s="3" t="s">
        <v>15</v>
      </c>
      <c r="J196" s="3" t="str">
        <f t="shared" si="2"/>
        <v>May</v>
      </c>
      <c r="K196"/>
      <c r="L196"/>
      <c r="M196" s="6"/>
      <c r="N196" s="6"/>
      <c r="O196" s="6"/>
      <c r="P196" s="3"/>
      <c r="Q196" s="3"/>
      <c r="R196" s="3"/>
      <c r="S196" s="3"/>
    </row>
    <row r="197" spans="2:19" s="2" customFormat="1" hidden="1" x14ac:dyDescent="0.25">
      <c r="B197">
        <v>10347</v>
      </c>
      <c r="C197" t="s">
        <v>94</v>
      </c>
      <c r="D197" s="6">
        <v>42680</v>
      </c>
      <c r="E197" s="6">
        <v>42708</v>
      </c>
      <c r="F197" s="6">
        <v>42682</v>
      </c>
      <c r="G197" s="3" t="s">
        <v>646</v>
      </c>
      <c r="H197" s="3">
        <v>15.5</v>
      </c>
      <c r="I197" s="3" t="s">
        <v>332</v>
      </c>
      <c r="J197" s="3" t="str">
        <f t="shared" si="2"/>
        <v>Nov</v>
      </c>
      <c r="K197"/>
      <c r="L197"/>
      <c r="M197" s="6"/>
      <c r="N197" s="6"/>
      <c r="O197" s="6"/>
      <c r="P197" s="3"/>
      <c r="Q197" s="3"/>
      <c r="R197" s="3"/>
      <c r="S197" s="3"/>
    </row>
    <row r="198" spans="2:19" s="2" customFormat="1" hidden="1" x14ac:dyDescent="0.25">
      <c r="B198">
        <v>10386</v>
      </c>
      <c r="C198" t="s">
        <v>94</v>
      </c>
      <c r="D198" s="6">
        <v>42722</v>
      </c>
      <c r="E198" s="6">
        <v>42736</v>
      </c>
      <c r="F198" s="6">
        <v>42729</v>
      </c>
      <c r="G198" s="3" t="s">
        <v>646</v>
      </c>
      <c r="H198" s="3">
        <v>69.95</v>
      </c>
      <c r="I198" s="3" t="s">
        <v>332</v>
      </c>
      <c r="J198" s="3" t="str">
        <f t="shared" si="2"/>
        <v>Dec</v>
      </c>
      <c r="K198"/>
      <c r="L198"/>
      <c r="M198" s="6"/>
      <c r="N198" s="6"/>
      <c r="O198" s="6"/>
      <c r="P198" s="3"/>
      <c r="Q198" s="3"/>
      <c r="R198" s="3"/>
      <c r="S198" s="3"/>
    </row>
    <row r="199" spans="2:19" s="2" customFormat="1" hidden="1" x14ac:dyDescent="0.25">
      <c r="B199">
        <v>10414</v>
      </c>
      <c r="C199" t="s">
        <v>94</v>
      </c>
      <c r="D199" s="6">
        <v>42749</v>
      </c>
      <c r="E199" s="6">
        <v>42777</v>
      </c>
      <c r="F199" s="6">
        <v>42752</v>
      </c>
      <c r="G199" s="3" t="s">
        <v>646</v>
      </c>
      <c r="H199" s="3">
        <v>107.4</v>
      </c>
      <c r="I199" s="3" t="s">
        <v>332</v>
      </c>
      <c r="J199" s="3" t="str">
        <f t="shared" si="2"/>
        <v>Jan</v>
      </c>
      <c r="K199"/>
      <c r="L199"/>
      <c r="M199" s="6"/>
      <c r="N199" s="6"/>
      <c r="O199" s="6"/>
      <c r="P199" s="3"/>
      <c r="Q199" s="3"/>
      <c r="R199" s="3"/>
      <c r="S199" s="3"/>
    </row>
    <row r="200" spans="2:19" s="2" customFormat="1" hidden="1" x14ac:dyDescent="0.25">
      <c r="B200">
        <v>10512</v>
      </c>
      <c r="C200" t="s">
        <v>94</v>
      </c>
      <c r="D200" s="6">
        <v>42846</v>
      </c>
      <c r="E200" s="6">
        <v>42874</v>
      </c>
      <c r="F200" s="6">
        <v>42849</v>
      </c>
      <c r="G200" s="3" t="s">
        <v>645</v>
      </c>
      <c r="H200" s="3">
        <v>17.649999999999999</v>
      </c>
      <c r="I200" s="3" t="s">
        <v>332</v>
      </c>
      <c r="J200" s="3" t="str">
        <f t="shared" si="2"/>
        <v>Apr</v>
      </c>
      <c r="K200"/>
      <c r="L200"/>
      <c r="M200" s="6"/>
      <c r="N200" s="6"/>
      <c r="O200" s="6"/>
      <c r="P200" s="3"/>
      <c r="Q200" s="3"/>
      <c r="R200" s="3"/>
      <c r="S200" s="3"/>
    </row>
    <row r="201" spans="2:19" s="2" customFormat="1" hidden="1" x14ac:dyDescent="0.25">
      <c r="B201">
        <v>10581</v>
      </c>
      <c r="C201" t="s">
        <v>94</v>
      </c>
      <c r="D201" s="6">
        <v>42912</v>
      </c>
      <c r="E201" s="6">
        <v>42940</v>
      </c>
      <c r="F201" s="6">
        <v>42918</v>
      </c>
      <c r="G201" s="3" t="s">
        <v>644</v>
      </c>
      <c r="H201" s="3">
        <v>15.049999999999999</v>
      </c>
      <c r="I201" s="3" t="s">
        <v>332</v>
      </c>
      <c r="J201" s="3" t="str">
        <f t="shared" si="2"/>
        <v>Jun</v>
      </c>
      <c r="K201"/>
      <c r="L201"/>
      <c r="M201" s="6"/>
      <c r="N201" s="6"/>
      <c r="O201" s="6"/>
      <c r="P201" s="3"/>
      <c r="Q201" s="3"/>
      <c r="R201" s="3"/>
      <c r="S201" s="3"/>
    </row>
    <row r="202" spans="2:19" s="2" customFormat="1" hidden="1" x14ac:dyDescent="0.25">
      <c r="B202">
        <v>10650</v>
      </c>
      <c r="C202" t="s">
        <v>94</v>
      </c>
      <c r="D202" s="6">
        <v>42976</v>
      </c>
      <c r="E202" s="6">
        <v>43004</v>
      </c>
      <c r="F202" s="6">
        <v>42981</v>
      </c>
      <c r="G202" s="3" t="s">
        <v>646</v>
      </c>
      <c r="H202" s="3">
        <v>884.05</v>
      </c>
      <c r="I202" s="3" t="s">
        <v>332</v>
      </c>
      <c r="J202" s="3" t="str">
        <f t="shared" si="2"/>
        <v>Aug</v>
      </c>
      <c r="K202"/>
      <c r="L202"/>
      <c r="M202" s="6"/>
      <c r="N202" s="6"/>
      <c r="O202" s="6"/>
      <c r="P202" s="3"/>
      <c r="Q202" s="3"/>
      <c r="R202" s="3"/>
      <c r="S202" s="3"/>
    </row>
    <row r="203" spans="2:19" s="2" customFormat="1" hidden="1" x14ac:dyDescent="0.25">
      <c r="B203">
        <v>10725</v>
      </c>
      <c r="C203" t="s">
        <v>94</v>
      </c>
      <c r="D203" s="6">
        <v>43039</v>
      </c>
      <c r="E203" s="6">
        <v>43067</v>
      </c>
      <c r="F203" s="6">
        <v>43044</v>
      </c>
      <c r="G203" s="3" t="s">
        <v>646</v>
      </c>
      <c r="H203" s="3">
        <v>54.15</v>
      </c>
      <c r="I203" s="3" t="s">
        <v>332</v>
      </c>
      <c r="J203" s="3" t="str">
        <f t="shared" si="2"/>
        <v>Oct</v>
      </c>
      <c r="K203"/>
      <c r="L203"/>
      <c r="M203" s="6"/>
      <c r="N203" s="6"/>
      <c r="O203" s="6"/>
      <c r="P203" s="3"/>
      <c r="Q203" s="3"/>
      <c r="R203" s="3"/>
      <c r="S203" s="3"/>
    </row>
    <row r="204" spans="2:19" s="2" customFormat="1" hidden="1" x14ac:dyDescent="0.25">
      <c r="B204">
        <v>10408</v>
      </c>
      <c r="C204" t="s">
        <v>99</v>
      </c>
      <c r="D204" s="6">
        <v>42743</v>
      </c>
      <c r="E204" s="6">
        <v>42771</v>
      </c>
      <c r="F204" s="6">
        <v>42749</v>
      </c>
      <c r="G204" s="3" t="s">
        <v>644</v>
      </c>
      <c r="H204" s="3">
        <v>56.3</v>
      </c>
      <c r="I204" s="3" t="s">
        <v>334</v>
      </c>
      <c r="J204" s="3" t="str">
        <f t="shared" si="2"/>
        <v>Jan</v>
      </c>
      <c r="K204"/>
      <c r="L204"/>
      <c r="M204" s="6"/>
      <c r="N204" s="6"/>
      <c r="O204" s="6"/>
      <c r="P204" s="3"/>
      <c r="Q204" s="3"/>
      <c r="R204" s="3"/>
      <c r="S204" s="3"/>
    </row>
    <row r="205" spans="2:19" s="2" customFormat="1" hidden="1" x14ac:dyDescent="0.25">
      <c r="B205">
        <v>10480</v>
      </c>
      <c r="C205" t="s">
        <v>99</v>
      </c>
      <c r="D205" s="6">
        <v>42814</v>
      </c>
      <c r="E205" s="6">
        <v>42842</v>
      </c>
      <c r="F205" s="6">
        <v>42818</v>
      </c>
      <c r="G205" s="3" t="s">
        <v>645</v>
      </c>
      <c r="H205" s="3">
        <v>6.75</v>
      </c>
      <c r="I205" s="3" t="s">
        <v>334</v>
      </c>
      <c r="J205" s="3" t="str">
        <f t="shared" si="2"/>
        <v>Mar</v>
      </c>
      <c r="K205"/>
      <c r="L205"/>
      <c r="M205" s="6"/>
      <c r="N205" s="6"/>
      <c r="O205" s="6"/>
      <c r="P205" s="3"/>
      <c r="Q205" s="3"/>
      <c r="R205" s="3"/>
      <c r="S205" s="3"/>
    </row>
    <row r="206" spans="2:19" s="2" customFormat="1" hidden="1" x14ac:dyDescent="0.25">
      <c r="B206">
        <v>10634</v>
      </c>
      <c r="C206" t="s">
        <v>99</v>
      </c>
      <c r="D206" s="6">
        <v>42962</v>
      </c>
      <c r="E206" s="6">
        <v>42990</v>
      </c>
      <c r="F206" s="6">
        <v>42968</v>
      </c>
      <c r="G206" s="3" t="s">
        <v>646</v>
      </c>
      <c r="H206" s="3">
        <v>2436.9</v>
      </c>
      <c r="I206" s="3" t="s">
        <v>334</v>
      </c>
      <c r="J206" s="3" t="str">
        <f t="shared" si="2"/>
        <v>Aug</v>
      </c>
      <c r="K206"/>
      <c r="L206"/>
      <c r="M206" s="6"/>
      <c r="N206" s="6"/>
      <c r="O206" s="6"/>
      <c r="P206" s="3"/>
      <c r="Q206" s="3"/>
      <c r="R206" s="3"/>
      <c r="S206" s="3"/>
    </row>
    <row r="207" spans="2:19" s="2" customFormat="1" hidden="1" x14ac:dyDescent="0.25">
      <c r="B207">
        <v>10763</v>
      </c>
      <c r="C207" t="s">
        <v>99</v>
      </c>
      <c r="D207" s="6">
        <v>43072</v>
      </c>
      <c r="E207" s="6">
        <v>43100</v>
      </c>
      <c r="F207" s="6">
        <v>43077</v>
      </c>
      <c r="G207" s="3" t="s">
        <v>646</v>
      </c>
      <c r="H207" s="3">
        <v>186.75</v>
      </c>
      <c r="I207" s="3" t="s">
        <v>334</v>
      </c>
      <c r="J207" s="3" t="str">
        <f t="shared" si="2"/>
        <v>Dec</v>
      </c>
      <c r="K207"/>
      <c r="L207"/>
      <c r="M207" s="6"/>
      <c r="N207" s="6"/>
      <c r="O207" s="6"/>
      <c r="P207" s="3"/>
      <c r="Q207" s="3"/>
      <c r="R207" s="3"/>
      <c r="S207" s="3"/>
    </row>
    <row r="208" spans="2:19" s="2" customFormat="1" hidden="1" x14ac:dyDescent="0.25">
      <c r="B208">
        <v>10789</v>
      </c>
      <c r="C208" t="s">
        <v>99</v>
      </c>
      <c r="D208" s="6">
        <v>43091</v>
      </c>
      <c r="E208" s="6">
        <v>43119</v>
      </c>
      <c r="F208" s="6">
        <v>43100</v>
      </c>
      <c r="G208" s="3" t="s">
        <v>645</v>
      </c>
      <c r="H208" s="3">
        <v>503</v>
      </c>
      <c r="I208" s="3" t="s">
        <v>334</v>
      </c>
      <c r="J208" s="3" t="str">
        <f t="shared" si="2"/>
        <v>Dec</v>
      </c>
      <c r="K208"/>
      <c r="L208"/>
      <c r="M208" s="6"/>
      <c r="N208" s="6"/>
      <c r="O208" s="6"/>
      <c r="P208" s="3"/>
      <c r="Q208" s="3"/>
      <c r="R208" s="3"/>
      <c r="S208" s="3"/>
    </row>
    <row r="209" spans="2:19" s="2" customFormat="1" hidden="1" x14ac:dyDescent="0.25">
      <c r="B209">
        <v>10264</v>
      </c>
      <c r="C209" t="s">
        <v>103</v>
      </c>
      <c r="D209" s="6">
        <v>42575</v>
      </c>
      <c r="E209" s="6">
        <v>42603</v>
      </c>
      <c r="F209" s="6">
        <v>42605</v>
      </c>
      <c r="G209" s="3" t="s">
        <v>646</v>
      </c>
      <c r="H209" s="3">
        <v>18.350000000000001</v>
      </c>
      <c r="I209" s="3" t="s">
        <v>335</v>
      </c>
      <c r="J209" s="3" t="str">
        <f t="shared" ref="J209:J272" si="3">TEXT(D209,"mmm")</f>
        <v>Jul</v>
      </c>
      <c r="K209"/>
      <c r="L209"/>
      <c r="M209" s="6"/>
      <c r="N209" s="6"/>
      <c r="O209" s="6"/>
      <c r="P209" s="3"/>
      <c r="Q209" s="3"/>
      <c r="R209" s="3"/>
      <c r="S209" s="3"/>
    </row>
    <row r="210" spans="2:19" s="2" customFormat="1" hidden="1" x14ac:dyDescent="0.25">
      <c r="B210">
        <v>10327</v>
      </c>
      <c r="C210" t="s">
        <v>103</v>
      </c>
      <c r="D210" s="6">
        <v>42654</v>
      </c>
      <c r="E210" s="6">
        <v>42682</v>
      </c>
      <c r="F210" s="6">
        <v>42657</v>
      </c>
      <c r="G210" s="3" t="s">
        <v>644</v>
      </c>
      <c r="H210" s="3">
        <v>316.8</v>
      </c>
      <c r="I210" s="3" t="s">
        <v>335</v>
      </c>
      <c r="J210" s="3" t="str">
        <f t="shared" si="3"/>
        <v>Oct</v>
      </c>
      <c r="K210"/>
      <c r="L210"/>
      <c r="M210" s="6"/>
      <c r="N210" s="6"/>
      <c r="O210" s="6"/>
      <c r="P210" s="3"/>
      <c r="Q210" s="3"/>
      <c r="R210" s="3"/>
      <c r="S210" s="3"/>
    </row>
    <row r="211" spans="2:19" s="2" customFormat="1" hidden="1" x14ac:dyDescent="0.25">
      <c r="B211">
        <v>10378</v>
      </c>
      <c r="C211" t="s">
        <v>103</v>
      </c>
      <c r="D211" s="6">
        <v>42714</v>
      </c>
      <c r="E211" s="6">
        <v>42742</v>
      </c>
      <c r="F211" s="6">
        <v>42723</v>
      </c>
      <c r="G211" s="3" t="s">
        <v>646</v>
      </c>
      <c r="H211" s="3">
        <v>27.200000000000003</v>
      </c>
      <c r="I211" s="3" t="s">
        <v>335</v>
      </c>
      <c r="J211" s="3" t="str">
        <f t="shared" si="3"/>
        <v>Dec</v>
      </c>
      <c r="K211"/>
      <c r="L211"/>
      <c r="M211" s="6"/>
      <c r="N211" s="6"/>
      <c r="O211" s="6"/>
      <c r="P211" s="3"/>
      <c r="Q211" s="3"/>
      <c r="R211" s="3"/>
      <c r="S211" s="3"/>
    </row>
    <row r="212" spans="2:19" s="2" customFormat="1" hidden="1" x14ac:dyDescent="0.25">
      <c r="B212">
        <v>10434</v>
      </c>
      <c r="C212" t="s">
        <v>103</v>
      </c>
      <c r="D212" s="6">
        <v>42769</v>
      </c>
      <c r="E212" s="6">
        <v>42797</v>
      </c>
      <c r="F212" s="6">
        <v>42779</v>
      </c>
      <c r="G212" s="3" t="s">
        <v>645</v>
      </c>
      <c r="H212" s="3">
        <v>89.600000000000009</v>
      </c>
      <c r="I212" s="3" t="s">
        <v>335</v>
      </c>
      <c r="J212" s="3" t="str">
        <f t="shared" si="3"/>
        <v>Feb</v>
      </c>
      <c r="K212"/>
      <c r="L212"/>
      <c r="M212" s="6"/>
      <c r="N212" s="6"/>
      <c r="O212" s="6"/>
      <c r="P212" s="3"/>
      <c r="Q212" s="3"/>
      <c r="R212" s="3"/>
      <c r="S212" s="3"/>
    </row>
    <row r="213" spans="2:19" s="2" customFormat="1" hidden="1" x14ac:dyDescent="0.25">
      <c r="B213">
        <v>10460</v>
      </c>
      <c r="C213" t="s">
        <v>103</v>
      </c>
      <c r="D213" s="6">
        <v>42794</v>
      </c>
      <c r="E213" s="6">
        <v>42822</v>
      </c>
      <c r="F213" s="6">
        <v>42797</v>
      </c>
      <c r="G213" s="3" t="s">
        <v>644</v>
      </c>
      <c r="H213" s="3">
        <v>81.349999999999994</v>
      </c>
      <c r="I213" s="3" t="s">
        <v>335</v>
      </c>
      <c r="J213" s="3" t="str">
        <f t="shared" si="3"/>
        <v>Feb</v>
      </c>
      <c r="K213"/>
      <c r="L213"/>
      <c r="M213" s="6"/>
      <c r="N213" s="6"/>
      <c r="O213" s="6"/>
      <c r="P213" s="3"/>
      <c r="Q213" s="3"/>
      <c r="R213" s="3"/>
      <c r="S213" s="3"/>
    </row>
    <row r="214" spans="2:19" s="2" customFormat="1" hidden="1" x14ac:dyDescent="0.25">
      <c r="B214">
        <v>10533</v>
      </c>
      <c r="C214" t="s">
        <v>103</v>
      </c>
      <c r="D214" s="6">
        <v>42867</v>
      </c>
      <c r="E214" s="6">
        <v>42895</v>
      </c>
      <c r="F214" s="6">
        <v>42877</v>
      </c>
      <c r="G214" s="3" t="s">
        <v>644</v>
      </c>
      <c r="H214" s="3">
        <v>940.19999999999993</v>
      </c>
      <c r="I214" s="3" t="s">
        <v>335</v>
      </c>
      <c r="J214" s="3" t="str">
        <f t="shared" si="3"/>
        <v>May</v>
      </c>
      <c r="K214"/>
      <c r="L214"/>
      <c r="M214" s="6"/>
      <c r="N214" s="6"/>
      <c r="O214" s="6"/>
      <c r="P214" s="3"/>
      <c r="Q214" s="3"/>
      <c r="R214" s="3"/>
      <c r="S214" s="3"/>
    </row>
    <row r="215" spans="2:19" s="2" customFormat="1" hidden="1" x14ac:dyDescent="0.25">
      <c r="B215">
        <v>10561</v>
      </c>
      <c r="C215" t="s">
        <v>103</v>
      </c>
      <c r="D215" s="6">
        <v>42892</v>
      </c>
      <c r="E215" s="6">
        <v>42920</v>
      </c>
      <c r="F215" s="6">
        <v>42895</v>
      </c>
      <c r="G215" s="3" t="s">
        <v>645</v>
      </c>
      <c r="H215" s="3">
        <v>1211.05</v>
      </c>
      <c r="I215" s="3" t="s">
        <v>335</v>
      </c>
      <c r="J215" s="3" t="str">
        <f t="shared" si="3"/>
        <v>Jun</v>
      </c>
      <c r="K215"/>
      <c r="L215"/>
      <c r="M215" s="6"/>
      <c r="N215" s="6"/>
      <c r="O215" s="6"/>
      <c r="P215" s="3"/>
      <c r="Q215" s="3"/>
      <c r="R215" s="3"/>
      <c r="S215" s="3"/>
    </row>
    <row r="216" spans="2:19" s="2" customFormat="1" hidden="1" x14ac:dyDescent="0.25">
      <c r="B216">
        <v>10703</v>
      </c>
      <c r="C216" t="s">
        <v>103</v>
      </c>
      <c r="D216" s="6">
        <v>43022</v>
      </c>
      <c r="E216" s="6">
        <v>43050</v>
      </c>
      <c r="F216" s="6">
        <v>43028</v>
      </c>
      <c r="G216" s="3" t="s">
        <v>645</v>
      </c>
      <c r="H216" s="3">
        <v>761.5</v>
      </c>
      <c r="I216" s="3" t="s">
        <v>335</v>
      </c>
      <c r="J216" s="3" t="str">
        <f t="shared" si="3"/>
        <v>Oct</v>
      </c>
      <c r="K216"/>
      <c r="L216"/>
      <c r="M216" s="6"/>
      <c r="N216" s="6"/>
      <c r="O216" s="6"/>
      <c r="P216" s="3"/>
      <c r="Q216" s="3"/>
      <c r="R216" s="3"/>
      <c r="S216" s="3"/>
    </row>
    <row r="217" spans="2:19" s="2" customFormat="1" hidden="1" x14ac:dyDescent="0.25">
      <c r="B217">
        <v>10762</v>
      </c>
      <c r="C217" t="s">
        <v>103</v>
      </c>
      <c r="D217" s="6">
        <v>43071</v>
      </c>
      <c r="E217" s="6">
        <v>43099</v>
      </c>
      <c r="F217" s="6">
        <v>43078</v>
      </c>
      <c r="G217" s="3" t="s">
        <v>644</v>
      </c>
      <c r="H217" s="3">
        <v>1643.7</v>
      </c>
      <c r="I217" s="3" t="s">
        <v>335</v>
      </c>
      <c r="J217" s="3" t="str">
        <f t="shared" si="3"/>
        <v>Dec</v>
      </c>
      <c r="K217"/>
      <c r="L217"/>
      <c r="M217" s="6"/>
      <c r="N217" s="6"/>
      <c r="O217" s="6"/>
      <c r="P217" s="3"/>
      <c r="Q217" s="3"/>
      <c r="R217" s="3"/>
      <c r="S217" s="3"/>
    </row>
    <row r="218" spans="2:19" s="2" customFormat="1" hidden="1" x14ac:dyDescent="0.25">
      <c r="B218">
        <v>10774</v>
      </c>
      <c r="C218" t="s">
        <v>103</v>
      </c>
      <c r="D218" s="6">
        <v>43080</v>
      </c>
      <c r="E218" s="6">
        <v>43094</v>
      </c>
      <c r="F218" s="6">
        <v>43081</v>
      </c>
      <c r="G218" s="3" t="s">
        <v>644</v>
      </c>
      <c r="H218" s="3">
        <v>241</v>
      </c>
      <c r="I218" s="3" t="s">
        <v>335</v>
      </c>
      <c r="J218" s="3" t="str">
        <f t="shared" si="3"/>
        <v>Dec</v>
      </c>
      <c r="K218"/>
      <c r="L218"/>
      <c r="M218" s="6"/>
      <c r="N218" s="6"/>
      <c r="O218" s="6"/>
      <c r="P218" s="3"/>
      <c r="Q218" s="3"/>
      <c r="R218" s="3"/>
      <c r="S218" s="3"/>
    </row>
    <row r="219" spans="2:19" s="2" customFormat="1" hidden="1" x14ac:dyDescent="0.25">
      <c r="B219">
        <v>10824</v>
      </c>
      <c r="C219" t="s">
        <v>103</v>
      </c>
      <c r="D219" s="6">
        <v>43109</v>
      </c>
      <c r="E219" s="6">
        <v>43137</v>
      </c>
      <c r="F219" s="6">
        <v>43130</v>
      </c>
      <c r="G219" s="3" t="s">
        <v>644</v>
      </c>
      <c r="H219" s="3">
        <v>6.15</v>
      </c>
      <c r="I219" s="3" t="s">
        <v>335</v>
      </c>
      <c r="J219" s="3" t="str">
        <f t="shared" si="3"/>
        <v>Jan</v>
      </c>
      <c r="K219"/>
      <c r="L219"/>
      <c r="M219" s="6"/>
      <c r="N219" s="6"/>
      <c r="O219" s="6"/>
      <c r="P219" s="3"/>
      <c r="Q219" s="3"/>
      <c r="R219" s="3"/>
      <c r="S219" s="3"/>
    </row>
    <row r="220" spans="2:19" s="2" customFormat="1" hidden="1" x14ac:dyDescent="0.25">
      <c r="B220">
        <v>10880</v>
      </c>
      <c r="C220" t="s">
        <v>103</v>
      </c>
      <c r="D220" s="6">
        <v>43141</v>
      </c>
      <c r="E220" s="6">
        <v>43183</v>
      </c>
      <c r="F220" s="6">
        <v>43149</v>
      </c>
      <c r="G220" s="3" t="s">
        <v>644</v>
      </c>
      <c r="H220" s="3">
        <v>440.05</v>
      </c>
      <c r="I220" s="3" t="s">
        <v>335</v>
      </c>
      <c r="J220" s="3" t="str">
        <f t="shared" si="3"/>
        <v>Feb</v>
      </c>
      <c r="K220"/>
      <c r="L220"/>
      <c r="M220" s="6"/>
      <c r="N220" s="6"/>
      <c r="O220" s="6"/>
      <c r="P220" s="3"/>
      <c r="Q220" s="3"/>
      <c r="R220" s="3"/>
      <c r="S220" s="3"/>
    </row>
    <row r="221" spans="2:19" s="2" customFormat="1" hidden="1" x14ac:dyDescent="0.25">
      <c r="B221">
        <v>10902</v>
      </c>
      <c r="C221" t="s">
        <v>103</v>
      </c>
      <c r="D221" s="6">
        <v>43154</v>
      </c>
      <c r="E221" s="6">
        <v>43182</v>
      </c>
      <c r="F221" s="6">
        <v>43162</v>
      </c>
      <c r="G221" s="3" t="s">
        <v>644</v>
      </c>
      <c r="H221" s="3">
        <v>220.75</v>
      </c>
      <c r="I221" s="3" t="s">
        <v>335</v>
      </c>
      <c r="J221" s="3" t="str">
        <f t="shared" si="3"/>
        <v>Feb</v>
      </c>
      <c r="K221"/>
      <c r="L221"/>
      <c r="M221" s="6"/>
      <c r="N221" s="6"/>
      <c r="O221" s="6"/>
      <c r="P221" s="3"/>
      <c r="Q221" s="3"/>
      <c r="R221" s="3"/>
      <c r="S221" s="3"/>
    </row>
    <row r="222" spans="2:19" s="2" customFormat="1" hidden="1" x14ac:dyDescent="0.25">
      <c r="B222">
        <v>10955</v>
      </c>
      <c r="C222" t="s">
        <v>103</v>
      </c>
      <c r="D222" s="6">
        <v>43176</v>
      </c>
      <c r="E222" s="6">
        <v>43204</v>
      </c>
      <c r="F222" s="6">
        <v>43179</v>
      </c>
      <c r="G222" s="3" t="s">
        <v>645</v>
      </c>
      <c r="H222" s="3">
        <v>16.299999999999997</v>
      </c>
      <c r="I222" s="3" t="s">
        <v>335</v>
      </c>
      <c r="J222" s="3" t="str">
        <f t="shared" si="3"/>
        <v>Mar</v>
      </c>
      <c r="K222"/>
      <c r="L222"/>
      <c r="M222" s="6"/>
      <c r="N222" s="6"/>
      <c r="O222" s="6"/>
      <c r="P222" s="3"/>
      <c r="Q222" s="3"/>
      <c r="R222" s="3"/>
      <c r="S222" s="3"/>
    </row>
    <row r="223" spans="2:19" s="2" customFormat="1" hidden="1" x14ac:dyDescent="0.25">
      <c r="B223">
        <v>10977</v>
      </c>
      <c r="C223" t="s">
        <v>103</v>
      </c>
      <c r="D223" s="6">
        <v>43185</v>
      </c>
      <c r="E223" s="6">
        <v>43213</v>
      </c>
      <c r="F223" s="6">
        <v>43200</v>
      </c>
      <c r="G223" s="3" t="s">
        <v>646</v>
      </c>
      <c r="H223" s="3">
        <v>1042.5</v>
      </c>
      <c r="I223" s="3" t="s">
        <v>335</v>
      </c>
      <c r="J223" s="3" t="str">
        <f t="shared" si="3"/>
        <v>Mar</v>
      </c>
      <c r="K223"/>
      <c r="L223"/>
      <c r="M223" s="6"/>
      <c r="N223" s="6"/>
      <c r="O223" s="6"/>
      <c r="P223" s="3"/>
      <c r="Q223" s="3"/>
      <c r="R223" s="3"/>
      <c r="S223" s="3"/>
    </row>
    <row r="224" spans="2:19" s="2" customFormat="1" hidden="1" x14ac:dyDescent="0.25">
      <c r="B224">
        <v>10980</v>
      </c>
      <c r="C224" t="s">
        <v>103</v>
      </c>
      <c r="D224" s="6">
        <v>43186</v>
      </c>
      <c r="E224" s="6">
        <v>43228</v>
      </c>
      <c r="F224" s="6">
        <v>43207</v>
      </c>
      <c r="G224" s="3" t="s">
        <v>644</v>
      </c>
      <c r="H224" s="3">
        <v>6.3</v>
      </c>
      <c r="I224" s="3" t="s">
        <v>335</v>
      </c>
      <c r="J224" s="3" t="str">
        <f t="shared" si="3"/>
        <v>Mar</v>
      </c>
      <c r="K224"/>
      <c r="L224"/>
      <c r="M224" s="6"/>
      <c r="N224" s="6"/>
      <c r="O224" s="6"/>
      <c r="P224" s="3"/>
      <c r="Q224" s="3"/>
      <c r="R224" s="3"/>
      <c r="S224" s="3"/>
    </row>
    <row r="225" spans="2:19" s="2" customFormat="1" hidden="1" x14ac:dyDescent="0.25">
      <c r="B225">
        <v>10993</v>
      </c>
      <c r="C225" t="s">
        <v>103</v>
      </c>
      <c r="D225" s="6">
        <v>43191</v>
      </c>
      <c r="E225" s="6">
        <v>43219</v>
      </c>
      <c r="F225" s="6">
        <v>43200</v>
      </c>
      <c r="G225" s="3" t="s">
        <v>646</v>
      </c>
      <c r="H225" s="3">
        <v>44.050000000000004</v>
      </c>
      <c r="I225" s="3" t="s">
        <v>335</v>
      </c>
      <c r="J225" s="3" t="str">
        <f t="shared" si="3"/>
        <v>Apr</v>
      </c>
      <c r="K225"/>
      <c r="L225"/>
      <c r="M225" s="6"/>
      <c r="N225" s="6"/>
      <c r="O225" s="6"/>
      <c r="P225" s="3"/>
      <c r="Q225" s="3"/>
      <c r="R225" s="3"/>
      <c r="S225" s="3"/>
    </row>
    <row r="226" spans="2:19" s="2" customFormat="1" hidden="1" x14ac:dyDescent="0.25">
      <c r="B226">
        <v>11001</v>
      </c>
      <c r="C226" t="s">
        <v>103</v>
      </c>
      <c r="D226" s="6">
        <v>43196</v>
      </c>
      <c r="E226" s="6">
        <v>43224</v>
      </c>
      <c r="F226" s="6">
        <v>43204</v>
      </c>
      <c r="G226" s="3" t="s">
        <v>645</v>
      </c>
      <c r="H226" s="3">
        <v>986.5</v>
      </c>
      <c r="I226" s="3" t="s">
        <v>335</v>
      </c>
      <c r="J226" s="3" t="str">
        <f t="shared" si="3"/>
        <v>Apr</v>
      </c>
      <c r="K226"/>
      <c r="L226"/>
      <c r="M226" s="6"/>
      <c r="N226" s="6"/>
      <c r="O226" s="6"/>
      <c r="P226" s="3"/>
      <c r="Q226" s="3"/>
      <c r="R226" s="3"/>
      <c r="S226" s="3"/>
    </row>
    <row r="227" spans="2:19" s="2" customFormat="1" hidden="1" x14ac:dyDescent="0.25">
      <c r="B227">
        <v>11050</v>
      </c>
      <c r="C227" t="s">
        <v>103</v>
      </c>
      <c r="D227" s="6">
        <v>43217</v>
      </c>
      <c r="E227" s="6">
        <v>43245</v>
      </c>
      <c r="F227" s="6">
        <v>43225</v>
      </c>
      <c r="G227" s="3" t="s">
        <v>645</v>
      </c>
      <c r="H227" s="3">
        <v>297.04999999999995</v>
      </c>
      <c r="I227" s="3" t="s">
        <v>335</v>
      </c>
      <c r="J227" s="3" t="str">
        <f t="shared" si="3"/>
        <v>Apr</v>
      </c>
      <c r="K227"/>
      <c r="L227"/>
      <c r="M227" s="6"/>
      <c r="N227" s="6"/>
      <c r="O227" s="6"/>
      <c r="P227" s="3"/>
      <c r="Q227" s="3"/>
      <c r="R227" s="3"/>
      <c r="S227" s="3"/>
    </row>
    <row r="228" spans="2:19" s="2" customFormat="1" hidden="1" x14ac:dyDescent="0.25">
      <c r="B228">
        <v>10267</v>
      </c>
      <c r="C228" t="s">
        <v>105</v>
      </c>
      <c r="D228" s="6">
        <v>42580</v>
      </c>
      <c r="E228" s="6">
        <v>42608</v>
      </c>
      <c r="F228" s="6">
        <v>42588</v>
      </c>
      <c r="G228" s="3" t="s">
        <v>644</v>
      </c>
      <c r="H228" s="3">
        <v>1042.9000000000001</v>
      </c>
      <c r="I228" s="3" t="s">
        <v>336</v>
      </c>
      <c r="J228" s="3" t="str">
        <f t="shared" si="3"/>
        <v>Jul</v>
      </c>
      <c r="K228"/>
      <c r="L228"/>
      <c r="M228" s="6"/>
      <c r="N228" s="6"/>
      <c r="O228" s="6"/>
      <c r="P228" s="3"/>
      <c r="Q228" s="3"/>
      <c r="R228" s="3"/>
      <c r="S228" s="3"/>
    </row>
    <row r="229" spans="2:19" s="2" customFormat="1" hidden="1" x14ac:dyDescent="0.25">
      <c r="B229">
        <v>10337</v>
      </c>
      <c r="C229" t="s">
        <v>105</v>
      </c>
      <c r="D229" s="6">
        <v>42667</v>
      </c>
      <c r="E229" s="6">
        <v>42695</v>
      </c>
      <c r="F229" s="6">
        <v>42672</v>
      </c>
      <c r="G229" s="3" t="s">
        <v>646</v>
      </c>
      <c r="H229" s="3">
        <v>541.30000000000007</v>
      </c>
      <c r="I229" s="3" t="s">
        <v>336</v>
      </c>
      <c r="J229" s="3" t="str">
        <f t="shared" si="3"/>
        <v>Oct</v>
      </c>
      <c r="K229"/>
      <c r="L229"/>
      <c r="M229" s="6"/>
      <c r="N229" s="6"/>
      <c r="O229" s="6"/>
      <c r="P229" s="3"/>
      <c r="Q229" s="3"/>
      <c r="R229" s="3"/>
      <c r="S229" s="3"/>
    </row>
    <row r="230" spans="2:19" s="2" customFormat="1" hidden="1" x14ac:dyDescent="0.25">
      <c r="B230">
        <v>10342</v>
      </c>
      <c r="C230" t="s">
        <v>105</v>
      </c>
      <c r="D230" s="6">
        <v>42673</v>
      </c>
      <c r="E230" s="6">
        <v>42687</v>
      </c>
      <c r="F230" s="6">
        <v>42678</v>
      </c>
      <c r="G230" s="3" t="s">
        <v>645</v>
      </c>
      <c r="H230" s="3">
        <v>274.14999999999998</v>
      </c>
      <c r="I230" s="3" t="s">
        <v>336</v>
      </c>
      <c r="J230" s="3" t="str">
        <f t="shared" si="3"/>
        <v>Oct</v>
      </c>
      <c r="K230"/>
      <c r="L230"/>
      <c r="M230" s="6"/>
      <c r="N230" s="6"/>
      <c r="O230" s="6"/>
      <c r="P230" s="3"/>
      <c r="Q230" s="3"/>
      <c r="R230" s="3"/>
      <c r="S230" s="3"/>
    </row>
    <row r="231" spans="2:19" s="2" customFormat="1" hidden="1" x14ac:dyDescent="0.25">
      <c r="B231">
        <v>10396</v>
      </c>
      <c r="C231" t="s">
        <v>105</v>
      </c>
      <c r="D231" s="6">
        <v>42731</v>
      </c>
      <c r="E231" s="6">
        <v>42745</v>
      </c>
      <c r="F231" s="6">
        <v>42741</v>
      </c>
      <c r="G231" s="3" t="s">
        <v>646</v>
      </c>
      <c r="H231" s="3">
        <v>676.75</v>
      </c>
      <c r="I231" s="3" t="s">
        <v>336</v>
      </c>
      <c r="J231" s="3" t="str">
        <f t="shared" si="3"/>
        <v>Dec</v>
      </c>
      <c r="K231"/>
      <c r="L231"/>
      <c r="M231" s="6"/>
      <c r="N231" s="6"/>
      <c r="O231" s="6"/>
      <c r="P231" s="3"/>
      <c r="Q231" s="3"/>
      <c r="R231" s="3"/>
      <c r="S231" s="3"/>
    </row>
    <row r="232" spans="2:19" s="2" customFormat="1" hidden="1" x14ac:dyDescent="0.25">
      <c r="B232">
        <v>10488</v>
      </c>
      <c r="C232" t="s">
        <v>105</v>
      </c>
      <c r="D232" s="6">
        <v>42821</v>
      </c>
      <c r="E232" s="6">
        <v>42849</v>
      </c>
      <c r="F232" s="6">
        <v>42827</v>
      </c>
      <c r="G232" s="3" t="s">
        <v>645</v>
      </c>
      <c r="H232" s="3">
        <v>24.65</v>
      </c>
      <c r="I232" s="3" t="s">
        <v>336</v>
      </c>
      <c r="J232" s="3" t="str">
        <f t="shared" si="3"/>
        <v>Mar</v>
      </c>
      <c r="K232"/>
      <c r="L232"/>
      <c r="M232" s="6"/>
      <c r="N232" s="6"/>
      <c r="O232" s="6"/>
      <c r="P232" s="3"/>
      <c r="Q232" s="3"/>
      <c r="R232" s="3"/>
      <c r="S232" s="3"/>
    </row>
    <row r="233" spans="2:19" s="2" customFormat="1" hidden="1" x14ac:dyDescent="0.25">
      <c r="B233">
        <v>10560</v>
      </c>
      <c r="C233" t="s">
        <v>105</v>
      </c>
      <c r="D233" s="6">
        <v>42892</v>
      </c>
      <c r="E233" s="6">
        <v>42920</v>
      </c>
      <c r="F233" s="6">
        <v>42895</v>
      </c>
      <c r="G233" s="3" t="s">
        <v>644</v>
      </c>
      <c r="H233" s="3">
        <v>183.25</v>
      </c>
      <c r="I233" s="3" t="s">
        <v>336</v>
      </c>
      <c r="J233" s="3" t="str">
        <f t="shared" si="3"/>
        <v>Jun</v>
      </c>
      <c r="K233"/>
      <c r="L233"/>
      <c r="M233" s="6"/>
      <c r="N233" s="6"/>
      <c r="O233" s="6"/>
      <c r="P233" s="3"/>
      <c r="Q233" s="3"/>
      <c r="R233" s="3"/>
      <c r="S233" s="3"/>
    </row>
    <row r="234" spans="2:19" s="2" customFormat="1" hidden="1" x14ac:dyDescent="0.25">
      <c r="B234">
        <v>10623</v>
      </c>
      <c r="C234" t="s">
        <v>105</v>
      </c>
      <c r="D234" s="6">
        <v>42954</v>
      </c>
      <c r="E234" s="6">
        <v>42982</v>
      </c>
      <c r="F234" s="6">
        <v>42959</v>
      </c>
      <c r="G234" s="3" t="s">
        <v>645</v>
      </c>
      <c r="H234" s="3">
        <v>485.90000000000003</v>
      </c>
      <c r="I234" s="3" t="s">
        <v>336</v>
      </c>
      <c r="J234" s="3" t="str">
        <f t="shared" si="3"/>
        <v>Aug</v>
      </c>
      <c r="K234"/>
      <c r="L234"/>
      <c r="M234" s="6"/>
      <c r="N234" s="6"/>
      <c r="O234" s="6"/>
      <c r="P234" s="3"/>
      <c r="Q234" s="3"/>
      <c r="R234" s="3"/>
      <c r="S234" s="3"/>
    </row>
    <row r="235" spans="2:19" s="2" customFormat="1" hidden="1" x14ac:dyDescent="0.25">
      <c r="B235">
        <v>10653</v>
      </c>
      <c r="C235" t="s">
        <v>105</v>
      </c>
      <c r="D235" s="6">
        <v>42980</v>
      </c>
      <c r="E235" s="6">
        <v>43008</v>
      </c>
      <c r="F235" s="6">
        <v>42997</v>
      </c>
      <c r="G235" s="3" t="s">
        <v>644</v>
      </c>
      <c r="H235" s="3">
        <v>466.25</v>
      </c>
      <c r="I235" s="3" t="s">
        <v>336</v>
      </c>
      <c r="J235" s="3" t="str">
        <f t="shared" si="3"/>
        <v>Sep</v>
      </c>
      <c r="K235"/>
      <c r="L235"/>
      <c r="M235" s="6"/>
      <c r="N235" s="6"/>
      <c r="O235" s="6"/>
      <c r="P235" s="3"/>
      <c r="Q235" s="3"/>
      <c r="R235" s="3"/>
      <c r="S235" s="3"/>
    </row>
    <row r="236" spans="2:19" s="2" customFormat="1" hidden="1" x14ac:dyDescent="0.25">
      <c r="B236">
        <v>10670</v>
      </c>
      <c r="C236" t="s">
        <v>105</v>
      </c>
      <c r="D236" s="6">
        <v>42994</v>
      </c>
      <c r="E236" s="6">
        <v>43022</v>
      </c>
      <c r="F236" s="6">
        <v>42996</v>
      </c>
      <c r="G236" s="3" t="s">
        <v>644</v>
      </c>
      <c r="H236" s="3">
        <v>1017.4</v>
      </c>
      <c r="I236" s="3" t="s">
        <v>336</v>
      </c>
      <c r="J236" s="3" t="str">
        <f t="shared" si="3"/>
        <v>Sep</v>
      </c>
      <c r="K236"/>
      <c r="L236"/>
      <c r="M236" s="6"/>
      <c r="N236" s="6"/>
      <c r="O236" s="6"/>
      <c r="P236" s="3"/>
      <c r="Q236" s="3"/>
      <c r="R236" s="3"/>
      <c r="S236" s="3"/>
    </row>
    <row r="237" spans="2:19" s="2" customFormat="1" hidden="1" x14ac:dyDescent="0.25">
      <c r="B237">
        <v>10675</v>
      </c>
      <c r="C237" t="s">
        <v>105</v>
      </c>
      <c r="D237" s="6">
        <v>42997</v>
      </c>
      <c r="E237" s="6">
        <v>43025</v>
      </c>
      <c r="F237" s="6">
        <v>43001</v>
      </c>
      <c r="G237" s="3" t="s">
        <v>645</v>
      </c>
      <c r="H237" s="3">
        <v>159.25</v>
      </c>
      <c r="I237" s="3" t="s">
        <v>336</v>
      </c>
      <c r="J237" s="3" t="str">
        <f t="shared" si="3"/>
        <v>Sep</v>
      </c>
      <c r="K237"/>
      <c r="L237"/>
      <c r="M237" s="6"/>
      <c r="N237" s="6"/>
      <c r="O237" s="6"/>
      <c r="P237" s="3"/>
      <c r="Q237" s="3"/>
      <c r="R237" s="3"/>
      <c r="S237" s="3"/>
    </row>
    <row r="238" spans="2:19" s="2" customFormat="1" hidden="1" x14ac:dyDescent="0.25">
      <c r="B238">
        <v>10717</v>
      </c>
      <c r="C238" t="s">
        <v>105</v>
      </c>
      <c r="D238" s="6">
        <v>43032</v>
      </c>
      <c r="E238" s="6">
        <v>43060</v>
      </c>
      <c r="F238" s="6">
        <v>43037</v>
      </c>
      <c r="G238" s="3" t="s">
        <v>645</v>
      </c>
      <c r="H238" s="3">
        <v>296.25</v>
      </c>
      <c r="I238" s="3" t="s">
        <v>336</v>
      </c>
      <c r="J238" s="3" t="str">
        <f t="shared" si="3"/>
        <v>Oct</v>
      </c>
      <c r="K238"/>
      <c r="L238"/>
      <c r="M238" s="6"/>
      <c r="N238" s="6"/>
      <c r="O238" s="6"/>
      <c r="P238" s="3"/>
      <c r="Q238" s="3"/>
      <c r="R238" s="3"/>
      <c r="S238" s="3"/>
    </row>
    <row r="239" spans="2:19" s="2" customFormat="1" hidden="1" x14ac:dyDescent="0.25">
      <c r="B239">
        <v>10791</v>
      </c>
      <c r="C239" t="s">
        <v>105</v>
      </c>
      <c r="D239" s="6">
        <v>43092</v>
      </c>
      <c r="E239" s="6">
        <v>43120</v>
      </c>
      <c r="F239" s="6">
        <v>43101</v>
      </c>
      <c r="G239" s="3" t="s">
        <v>645</v>
      </c>
      <c r="H239" s="3">
        <v>84.25</v>
      </c>
      <c r="I239" s="3" t="s">
        <v>336</v>
      </c>
      <c r="J239" s="3" t="str">
        <f t="shared" si="3"/>
        <v>Dec</v>
      </c>
      <c r="K239"/>
      <c r="L239"/>
      <c r="M239" s="6"/>
      <c r="N239" s="6"/>
      <c r="O239" s="6"/>
      <c r="P239" s="3"/>
      <c r="Q239" s="3"/>
      <c r="R239" s="3"/>
      <c r="S239" s="3"/>
    </row>
    <row r="240" spans="2:19" s="2" customFormat="1" hidden="1" x14ac:dyDescent="0.25">
      <c r="B240">
        <v>10859</v>
      </c>
      <c r="C240" t="s">
        <v>105</v>
      </c>
      <c r="D240" s="6">
        <v>43129</v>
      </c>
      <c r="E240" s="6">
        <v>43157</v>
      </c>
      <c r="F240" s="6">
        <v>43133</v>
      </c>
      <c r="G240" s="3" t="s">
        <v>645</v>
      </c>
      <c r="H240" s="3">
        <v>380.5</v>
      </c>
      <c r="I240" s="3" t="s">
        <v>336</v>
      </c>
      <c r="J240" s="3" t="str">
        <f t="shared" si="3"/>
        <v>Jan</v>
      </c>
      <c r="K240"/>
      <c r="L240"/>
      <c r="M240" s="6"/>
      <c r="N240" s="6"/>
      <c r="O240" s="6"/>
      <c r="P240" s="3"/>
      <c r="Q240" s="3"/>
      <c r="R240" s="3"/>
      <c r="S240" s="3"/>
    </row>
    <row r="241" spans="2:19" s="2" customFormat="1" hidden="1" x14ac:dyDescent="0.25">
      <c r="B241">
        <v>10929</v>
      </c>
      <c r="C241" t="s">
        <v>105</v>
      </c>
      <c r="D241" s="6">
        <v>43164</v>
      </c>
      <c r="E241" s="6">
        <v>43192</v>
      </c>
      <c r="F241" s="6">
        <v>43171</v>
      </c>
      <c r="G241" s="3" t="s">
        <v>644</v>
      </c>
      <c r="H241" s="3">
        <v>169.65</v>
      </c>
      <c r="I241" s="3" t="s">
        <v>336</v>
      </c>
      <c r="J241" s="3" t="str">
        <f t="shared" si="3"/>
        <v>Mar</v>
      </c>
      <c r="K241"/>
      <c r="L241"/>
      <c r="M241" s="6"/>
      <c r="N241" s="6"/>
      <c r="O241" s="6"/>
      <c r="P241" s="3"/>
      <c r="Q241" s="3"/>
      <c r="R241" s="3"/>
      <c r="S241" s="3"/>
    </row>
    <row r="242" spans="2:19" s="2" customFormat="1" hidden="1" x14ac:dyDescent="0.25">
      <c r="B242">
        <v>11012</v>
      </c>
      <c r="C242" t="s">
        <v>105</v>
      </c>
      <c r="D242" s="6">
        <v>43199</v>
      </c>
      <c r="E242" s="6">
        <v>43213</v>
      </c>
      <c r="F242" s="6">
        <v>43207</v>
      </c>
      <c r="G242" s="3" t="s">
        <v>646</v>
      </c>
      <c r="H242" s="3">
        <v>1214.75</v>
      </c>
      <c r="I242" s="3" t="s">
        <v>336</v>
      </c>
      <c r="J242" s="3" t="str">
        <f t="shared" si="3"/>
        <v>Apr</v>
      </c>
      <c r="K242"/>
      <c r="L242"/>
      <c r="M242" s="6"/>
      <c r="N242" s="6"/>
      <c r="O242" s="6"/>
      <c r="P242" s="3"/>
      <c r="Q242" s="3"/>
      <c r="R242" s="3"/>
      <c r="S242" s="3"/>
    </row>
    <row r="243" spans="2:19" s="2" customFormat="1" hidden="1" x14ac:dyDescent="0.25">
      <c r="B243">
        <v>10671</v>
      </c>
      <c r="C243" t="s">
        <v>108</v>
      </c>
      <c r="D243" s="6">
        <v>42995</v>
      </c>
      <c r="E243" s="6">
        <v>43023</v>
      </c>
      <c r="F243" s="6">
        <v>43002</v>
      </c>
      <c r="G243" s="3" t="s">
        <v>644</v>
      </c>
      <c r="H243" s="3">
        <v>151.69999999999999</v>
      </c>
      <c r="I243" s="3" t="s">
        <v>337</v>
      </c>
      <c r="J243" s="3" t="str">
        <f t="shared" si="3"/>
        <v>Sep</v>
      </c>
      <c r="K243"/>
      <c r="L243"/>
      <c r="M243" s="6"/>
      <c r="N243" s="6"/>
      <c r="O243" s="6"/>
      <c r="P243" s="3"/>
      <c r="Q243" s="3"/>
      <c r="R243" s="3"/>
      <c r="S243" s="3"/>
    </row>
    <row r="244" spans="2:19" s="2" customFormat="1" hidden="1" x14ac:dyDescent="0.25">
      <c r="B244">
        <v>10860</v>
      </c>
      <c r="C244" t="s">
        <v>108</v>
      </c>
      <c r="D244" s="6">
        <v>43129</v>
      </c>
      <c r="E244" s="6">
        <v>43157</v>
      </c>
      <c r="F244" s="6">
        <v>43135</v>
      </c>
      <c r="G244" s="3" t="s">
        <v>646</v>
      </c>
      <c r="H244" s="3">
        <v>96.300000000000011</v>
      </c>
      <c r="I244" s="3" t="s">
        <v>337</v>
      </c>
      <c r="J244" s="3" t="str">
        <f t="shared" si="3"/>
        <v>Jan</v>
      </c>
      <c r="K244"/>
      <c r="L244"/>
      <c r="M244" s="6"/>
      <c r="N244" s="6"/>
      <c r="O244" s="6"/>
      <c r="P244" s="3"/>
      <c r="Q244" s="3"/>
      <c r="R244" s="3"/>
      <c r="S244" s="3"/>
    </row>
    <row r="245" spans="2:19" s="2" customFormat="1" hidden="1" x14ac:dyDescent="0.25">
      <c r="B245">
        <v>10971</v>
      </c>
      <c r="C245" t="s">
        <v>108</v>
      </c>
      <c r="D245" s="6">
        <v>43183</v>
      </c>
      <c r="E245" s="6">
        <v>43211</v>
      </c>
      <c r="F245" s="6">
        <v>43192</v>
      </c>
      <c r="G245" s="3" t="s">
        <v>645</v>
      </c>
      <c r="H245" s="3">
        <v>609.09999999999991</v>
      </c>
      <c r="I245" s="3" t="s">
        <v>337</v>
      </c>
      <c r="J245" s="3" t="str">
        <f t="shared" si="3"/>
        <v>Mar</v>
      </c>
      <c r="K245"/>
      <c r="L245"/>
      <c r="M245" s="6"/>
      <c r="N245" s="6"/>
      <c r="O245" s="6"/>
      <c r="P245" s="3"/>
      <c r="Q245" s="3"/>
      <c r="R245" s="3"/>
      <c r="S245" s="3"/>
    </row>
    <row r="246" spans="2:19" s="2" customFormat="1" hidden="1" x14ac:dyDescent="0.25">
      <c r="B246">
        <v>10422</v>
      </c>
      <c r="C246" t="s">
        <v>111</v>
      </c>
      <c r="D246" s="6">
        <v>42757</v>
      </c>
      <c r="E246" s="6">
        <v>42785</v>
      </c>
      <c r="F246" s="6">
        <v>42766</v>
      </c>
      <c r="G246" s="3" t="s">
        <v>644</v>
      </c>
      <c r="H246" s="3">
        <v>15.1</v>
      </c>
      <c r="I246" s="3" t="s">
        <v>338</v>
      </c>
      <c r="J246" s="3" t="str">
        <f t="shared" si="3"/>
        <v>Jan</v>
      </c>
      <c r="K246"/>
      <c r="L246"/>
      <c r="M246" s="6"/>
      <c r="N246" s="6"/>
      <c r="O246" s="6"/>
      <c r="P246" s="3"/>
      <c r="Q246" s="3"/>
      <c r="R246" s="3"/>
      <c r="S246" s="3"/>
    </row>
    <row r="247" spans="2:19" s="2" customFormat="1" hidden="1" x14ac:dyDescent="0.25">
      <c r="B247">
        <v>10710</v>
      </c>
      <c r="C247" t="s">
        <v>111</v>
      </c>
      <c r="D247" s="6">
        <v>43028</v>
      </c>
      <c r="E247" s="6">
        <v>43056</v>
      </c>
      <c r="F247" s="6">
        <v>43031</v>
      </c>
      <c r="G247" s="3" t="s">
        <v>644</v>
      </c>
      <c r="H247" s="3">
        <v>24.900000000000002</v>
      </c>
      <c r="I247" s="3" t="s">
        <v>338</v>
      </c>
      <c r="J247" s="3" t="str">
        <f t="shared" si="3"/>
        <v>Oct</v>
      </c>
      <c r="K247"/>
      <c r="L247"/>
      <c r="M247" s="6"/>
      <c r="N247" s="6"/>
      <c r="O247" s="6"/>
      <c r="P247" s="3"/>
      <c r="Q247" s="3"/>
      <c r="R247" s="3"/>
      <c r="S247" s="3"/>
    </row>
    <row r="248" spans="2:19" s="2" customFormat="1" hidden="1" x14ac:dyDescent="0.25">
      <c r="B248">
        <v>10753</v>
      </c>
      <c r="C248" t="s">
        <v>111</v>
      </c>
      <c r="D248" s="6">
        <v>43064</v>
      </c>
      <c r="E248" s="6">
        <v>43092</v>
      </c>
      <c r="F248" s="6">
        <v>43066</v>
      </c>
      <c r="G248" s="3" t="s">
        <v>644</v>
      </c>
      <c r="H248" s="3">
        <v>38.5</v>
      </c>
      <c r="I248" s="3" t="s">
        <v>338</v>
      </c>
      <c r="J248" s="3" t="str">
        <f t="shared" si="3"/>
        <v>Nov</v>
      </c>
      <c r="K248"/>
      <c r="L248"/>
      <c r="M248" s="6"/>
      <c r="N248" s="6"/>
      <c r="O248" s="6"/>
      <c r="P248" s="3"/>
      <c r="Q248" s="3"/>
      <c r="R248" s="3"/>
      <c r="S248" s="3"/>
    </row>
    <row r="249" spans="2:19" s="2" customFormat="1" hidden="1" x14ac:dyDescent="0.25">
      <c r="B249">
        <v>10807</v>
      </c>
      <c r="C249" t="s">
        <v>111</v>
      </c>
      <c r="D249" s="6">
        <v>43100</v>
      </c>
      <c r="E249" s="6">
        <v>43128</v>
      </c>
      <c r="F249" s="6">
        <v>43130</v>
      </c>
      <c r="G249" s="3" t="s">
        <v>644</v>
      </c>
      <c r="H249" s="3">
        <v>6.8000000000000007</v>
      </c>
      <c r="I249" s="3" t="s">
        <v>338</v>
      </c>
      <c r="J249" s="3" t="str">
        <f t="shared" si="3"/>
        <v>Dec</v>
      </c>
      <c r="K249"/>
      <c r="L249"/>
      <c r="M249" s="6"/>
      <c r="N249" s="6"/>
      <c r="O249" s="6"/>
      <c r="P249" s="3"/>
      <c r="Q249" s="3"/>
      <c r="R249" s="3"/>
      <c r="S249" s="3"/>
    </row>
    <row r="250" spans="2:19" s="2" customFormat="1" hidden="1" x14ac:dyDescent="0.25">
      <c r="B250">
        <v>11026</v>
      </c>
      <c r="C250" t="s">
        <v>111</v>
      </c>
      <c r="D250" s="6">
        <v>43205</v>
      </c>
      <c r="E250" s="6">
        <v>43233</v>
      </c>
      <c r="F250" s="6">
        <v>43218</v>
      </c>
      <c r="G250" s="3" t="s">
        <v>644</v>
      </c>
      <c r="H250" s="3">
        <v>235.45000000000002</v>
      </c>
      <c r="I250" s="3" t="s">
        <v>338</v>
      </c>
      <c r="J250" s="3" t="str">
        <f t="shared" si="3"/>
        <v>Apr</v>
      </c>
      <c r="K250"/>
      <c r="L250"/>
      <c r="M250" s="6"/>
      <c r="N250" s="6"/>
      <c r="O250" s="6"/>
      <c r="P250" s="3"/>
      <c r="Q250" s="3"/>
      <c r="R250" s="3"/>
      <c r="S250" s="3"/>
    </row>
    <row r="251" spans="2:19" s="2" customFormat="1" hidden="1" x14ac:dyDescent="0.25">
      <c r="B251">
        <v>11060</v>
      </c>
      <c r="C251" t="s">
        <v>111</v>
      </c>
      <c r="D251" s="6">
        <v>43220</v>
      </c>
      <c r="E251" s="6">
        <v>43248</v>
      </c>
      <c r="F251" s="6">
        <v>43224</v>
      </c>
      <c r="G251" s="3" t="s">
        <v>645</v>
      </c>
      <c r="H251" s="3">
        <v>54.900000000000006</v>
      </c>
      <c r="I251" s="3" t="s">
        <v>338</v>
      </c>
      <c r="J251" s="3" t="str">
        <f t="shared" si="3"/>
        <v>Apr</v>
      </c>
      <c r="K251"/>
      <c r="L251"/>
      <c r="M251" s="6"/>
      <c r="N251" s="6"/>
      <c r="O251" s="6"/>
      <c r="P251" s="3"/>
      <c r="Q251" s="3"/>
      <c r="R251" s="3"/>
      <c r="S251" s="3"/>
    </row>
    <row r="252" spans="2:19" s="2" customFormat="1" hidden="1" x14ac:dyDescent="0.25">
      <c r="B252">
        <v>10328</v>
      </c>
      <c r="C252" t="s">
        <v>114</v>
      </c>
      <c r="D252" s="6">
        <v>42657</v>
      </c>
      <c r="E252" s="6">
        <v>42685</v>
      </c>
      <c r="F252" s="6">
        <v>42660</v>
      </c>
      <c r="G252" s="3" t="s">
        <v>646</v>
      </c>
      <c r="H252" s="3">
        <v>435.15</v>
      </c>
      <c r="I252" s="3" t="s">
        <v>339</v>
      </c>
      <c r="J252" s="3" t="str">
        <f t="shared" si="3"/>
        <v>Oct</v>
      </c>
      <c r="K252"/>
      <c r="L252"/>
      <c r="M252" s="6"/>
      <c r="N252" s="6"/>
      <c r="O252" s="6"/>
      <c r="P252" s="3"/>
      <c r="Q252" s="3"/>
      <c r="R252" s="3"/>
      <c r="S252" s="3"/>
    </row>
    <row r="253" spans="2:19" s="2" customFormat="1" hidden="1" x14ac:dyDescent="0.25">
      <c r="B253">
        <v>10352</v>
      </c>
      <c r="C253" t="s">
        <v>114</v>
      </c>
      <c r="D253" s="6">
        <v>42686</v>
      </c>
      <c r="E253" s="6">
        <v>42700</v>
      </c>
      <c r="F253" s="6">
        <v>42692</v>
      </c>
      <c r="G253" s="3" t="s">
        <v>646</v>
      </c>
      <c r="H253" s="3">
        <v>6.5</v>
      </c>
      <c r="I253" s="3" t="s">
        <v>339</v>
      </c>
      <c r="J253" s="3" t="str">
        <f t="shared" si="3"/>
        <v>Nov</v>
      </c>
      <c r="K253"/>
      <c r="L253"/>
      <c r="M253" s="6"/>
      <c r="N253" s="6"/>
      <c r="O253" s="6"/>
      <c r="P253" s="3"/>
      <c r="Q253" s="3"/>
      <c r="R253" s="3"/>
      <c r="S253" s="3"/>
    </row>
    <row r="254" spans="2:19" s="2" customFormat="1" hidden="1" x14ac:dyDescent="0.25">
      <c r="B254">
        <v>10464</v>
      </c>
      <c r="C254" t="s">
        <v>114</v>
      </c>
      <c r="D254" s="6">
        <v>42798</v>
      </c>
      <c r="E254" s="6">
        <v>42826</v>
      </c>
      <c r="F254" s="6">
        <v>42808</v>
      </c>
      <c r="G254" s="3" t="s">
        <v>645</v>
      </c>
      <c r="H254" s="3">
        <v>445</v>
      </c>
      <c r="I254" s="3" t="s">
        <v>339</v>
      </c>
      <c r="J254" s="3" t="str">
        <f t="shared" si="3"/>
        <v>Mar</v>
      </c>
      <c r="K254"/>
      <c r="L254"/>
      <c r="M254" s="6"/>
      <c r="N254" s="6"/>
      <c r="O254" s="6"/>
      <c r="P254" s="3"/>
      <c r="Q254" s="3"/>
      <c r="R254" s="3"/>
      <c r="S254" s="3"/>
    </row>
    <row r="255" spans="2:19" s="2" customFormat="1" hidden="1" x14ac:dyDescent="0.25">
      <c r="B255">
        <v>10491</v>
      </c>
      <c r="C255" t="s">
        <v>114</v>
      </c>
      <c r="D255" s="6">
        <v>42825</v>
      </c>
      <c r="E255" s="6">
        <v>42853</v>
      </c>
      <c r="F255" s="6">
        <v>42833</v>
      </c>
      <c r="G255" s="3" t="s">
        <v>646</v>
      </c>
      <c r="H255" s="3">
        <v>84.800000000000011</v>
      </c>
      <c r="I255" s="3" t="s">
        <v>339</v>
      </c>
      <c r="J255" s="3" t="str">
        <f t="shared" si="3"/>
        <v>Mar</v>
      </c>
      <c r="K255"/>
      <c r="L255"/>
      <c r="M255" s="6"/>
      <c r="N255" s="6"/>
      <c r="O255" s="6"/>
      <c r="P255" s="3"/>
      <c r="Q255" s="3"/>
      <c r="R255" s="3"/>
      <c r="S255" s="3"/>
    </row>
    <row r="256" spans="2:19" s="2" customFormat="1" hidden="1" x14ac:dyDescent="0.25">
      <c r="B256">
        <v>10551</v>
      </c>
      <c r="C256" t="s">
        <v>114</v>
      </c>
      <c r="D256" s="6">
        <v>42883</v>
      </c>
      <c r="E256" s="6">
        <v>42925</v>
      </c>
      <c r="F256" s="6">
        <v>42892</v>
      </c>
      <c r="G256" s="3" t="s">
        <v>646</v>
      </c>
      <c r="H256" s="3">
        <v>364.75</v>
      </c>
      <c r="I256" s="3" t="s">
        <v>339</v>
      </c>
      <c r="J256" s="3" t="str">
        <f t="shared" si="3"/>
        <v>May</v>
      </c>
      <c r="K256"/>
      <c r="L256"/>
      <c r="M256" s="6"/>
      <c r="N256" s="6"/>
      <c r="O256" s="6"/>
      <c r="P256" s="3"/>
      <c r="Q256" s="3"/>
      <c r="R256" s="3"/>
      <c r="S256" s="3"/>
    </row>
    <row r="257" spans="2:19" s="2" customFormat="1" hidden="1" x14ac:dyDescent="0.25">
      <c r="B257">
        <v>10604</v>
      </c>
      <c r="C257" t="s">
        <v>114</v>
      </c>
      <c r="D257" s="6">
        <v>42934</v>
      </c>
      <c r="E257" s="6">
        <v>42962</v>
      </c>
      <c r="F257" s="6">
        <v>42945</v>
      </c>
      <c r="G257" s="3" t="s">
        <v>644</v>
      </c>
      <c r="H257" s="3">
        <v>37.299999999999997</v>
      </c>
      <c r="I257" s="3" t="s">
        <v>339</v>
      </c>
      <c r="J257" s="3" t="str">
        <f t="shared" si="3"/>
        <v>Jul</v>
      </c>
      <c r="K257"/>
      <c r="L257"/>
      <c r="M257" s="6"/>
      <c r="N257" s="6"/>
      <c r="O257" s="6"/>
      <c r="P257" s="3"/>
      <c r="Q257" s="3"/>
      <c r="R257" s="3"/>
      <c r="S257" s="3"/>
    </row>
    <row r="258" spans="2:19" s="2" customFormat="1" hidden="1" x14ac:dyDescent="0.25">
      <c r="B258">
        <v>10664</v>
      </c>
      <c r="C258" t="s">
        <v>114</v>
      </c>
      <c r="D258" s="6">
        <v>42988</v>
      </c>
      <c r="E258" s="6">
        <v>43016</v>
      </c>
      <c r="F258" s="6">
        <v>42997</v>
      </c>
      <c r="G258" s="3" t="s">
        <v>646</v>
      </c>
      <c r="H258" s="3">
        <v>6.35</v>
      </c>
      <c r="I258" s="3" t="s">
        <v>339</v>
      </c>
      <c r="J258" s="3" t="str">
        <f t="shared" si="3"/>
        <v>Sep</v>
      </c>
      <c r="K258"/>
      <c r="L258"/>
      <c r="M258" s="6"/>
      <c r="N258" s="6"/>
      <c r="O258" s="6"/>
      <c r="P258" s="3"/>
      <c r="Q258" s="3"/>
      <c r="R258" s="3"/>
      <c r="S258" s="3"/>
    </row>
    <row r="259" spans="2:19" s="2" customFormat="1" hidden="1" x14ac:dyDescent="0.25">
      <c r="B259">
        <v>10963</v>
      </c>
      <c r="C259" t="s">
        <v>114</v>
      </c>
      <c r="D259" s="6">
        <v>43178</v>
      </c>
      <c r="E259" s="6">
        <v>43206</v>
      </c>
      <c r="F259" s="6">
        <v>43185</v>
      </c>
      <c r="G259" s="3" t="s">
        <v>646</v>
      </c>
      <c r="H259" s="3">
        <v>13.5</v>
      </c>
      <c r="I259" s="3" t="s">
        <v>339</v>
      </c>
      <c r="J259" s="3" t="str">
        <f t="shared" si="3"/>
        <v>Mar</v>
      </c>
      <c r="K259"/>
      <c r="L259"/>
      <c r="M259" s="6"/>
      <c r="N259" s="6"/>
      <c r="O259" s="6"/>
      <c r="P259" s="3"/>
      <c r="Q259" s="3"/>
      <c r="R259" s="3"/>
      <c r="S259" s="3"/>
    </row>
    <row r="260" spans="2:19" s="2" customFormat="1" hidden="1" x14ac:dyDescent="0.25">
      <c r="B260">
        <v>10366</v>
      </c>
      <c r="C260" t="s">
        <v>117</v>
      </c>
      <c r="D260" s="6">
        <v>42702</v>
      </c>
      <c r="E260" s="6">
        <v>42744</v>
      </c>
      <c r="F260" s="6">
        <v>42734</v>
      </c>
      <c r="G260" s="3" t="s">
        <v>645</v>
      </c>
      <c r="H260" s="3">
        <v>50.7</v>
      </c>
      <c r="I260" s="3" t="s">
        <v>340</v>
      </c>
      <c r="J260" s="3" t="str">
        <f t="shared" si="3"/>
        <v>Nov</v>
      </c>
      <c r="K260"/>
      <c r="L260"/>
      <c r="M260" s="6"/>
      <c r="N260" s="6"/>
      <c r="O260" s="6"/>
      <c r="P260" s="3"/>
      <c r="Q260" s="3"/>
      <c r="R260" s="3"/>
      <c r="S260" s="3"/>
    </row>
    <row r="261" spans="2:19" s="2" customFormat="1" hidden="1" x14ac:dyDescent="0.25">
      <c r="B261">
        <v>10426</v>
      </c>
      <c r="C261" t="s">
        <v>117</v>
      </c>
      <c r="D261" s="6">
        <v>42762</v>
      </c>
      <c r="E261" s="6">
        <v>42790</v>
      </c>
      <c r="F261" s="6">
        <v>42772</v>
      </c>
      <c r="G261" s="3" t="s">
        <v>644</v>
      </c>
      <c r="H261" s="3">
        <v>93.45</v>
      </c>
      <c r="I261" s="3" t="s">
        <v>340</v>
      </c>
      <c r="J261" s="3" t="str">
        <f t="shared" si="3"/>
        <v>Jan</v>
      </c>
      <c r="K261"/>
      <c r="L261"/>
      <c r="M261" s="6"/>
      <c r="N261" s="6"/>
      <c r="O261" s="6"/>
      <c r="P261" s="3"/>
      <c r="Q261" s="3"/>
      <c r="R261" s="3"/>
      <c r="S261" s="3"/>
    </row>
    <row r="262" spans="2:19" s="2" customFormat="1" hidden="1" x14ac:dyDescent="0.25">
      <c r="B262">
        <v>10568</v>
      </c>
      <c r="C262" t="s">
        <v>117</v>
      </c>
      <c r="D262" s="6">
        <v>42899</v>
      </c>
      <c r="E262" s="6">
        <v>42927</v>
      </c>
      <c r="F262" s="6">
        <v>42925</v>
      </c>
      <c r="G262" s="3" t="s">
        <v>646</v>
      </c>
      <c r="H262" s="3">
        <v>32.700000000000003</v>
      </c>
      <c r="I262" s="3" t="s">
        <v>340</v>
      </c>
      <c r="J262" s="3" t="str">
        <f t="shared" si="3"/>
        <v>Jun</v>
      </c>
      <c r="K262"/>
      <c r="L262"/>
      <c r="M262" s="6"/>
      <c r="N262" s="6"/>
      <c r="O262" s="6"/>
      <c r="P262" s="3"/>
      <c r="Q262" s="3"/>
      <c r="R262" s="3"/>
      <c r="S262" s="3"/>
    </row>
    <row r="263" spans="2:19" s="2" customFormat="1" hidden="1" x14ac:dyDescent="0.25">
      <c r="B263">
        <v>10887</v>
      </c>
      <c r="C263" t="s">
        <v>117</v>
      </c>
      <c r="D263" s="6">
        <v>43144</v>
      </c>
      <c r="E263" s="6">
        <v>43172</v>
      </c>
      <c r="F263" s="6">
        <v>43147</v>
      </c>
      <c r="G263" s="3" t="s">
        <v>646</v>
      </c>
      <c r="H263" s="3">
        <v>6.25</v>
      </c>
      <c r="I263" s="3" t="s">
        <v>340</v>
      </c>
      <c r="J263" s="3" t="str">
        <f t="shared" si="3"/>
        <v>Feb</v>
      </c>
      <c r="K263"/>
      <c r="L263"/>
      <c r="M263" s="6"/>
      <c r="N263" s="6"/>
      <c r="O263" s="6"/>
      <c r="P263" s="3"/>
      <c r="Q263" s="3"/>
      <c r="R263" s="3"/>
      <c r="S263" s="3"/>
    </row>
    <row r="264" spans="2:19" s="2" customFormat="1" hidden="1" x14ac:dyDescent="0.25">
      <c r="B264">
        <v>10928</v>
      </c>
      <c r="C264" t="s">
        <v>117</v>
      </c>
      <c r="D264" s="6">
        <v>43164</v>
      </c>
      <c r="E264" s="6">
        <v>43192</v>
      </c>
      <c r="F264" s="6">
        <v>43177</v>
      </c>
      <c r="G264" s="3" t="s">
        <v>644</v>
      </c>
      <c r="H264" s="3">
        <v>6.8000000000000007</v>
      </c>
      <c r="I264" s="3" t="s">
        <v>340</v>
      </c>
      <c r="J264" s="3" t="str">
        <f t="shared" si="3"/>
        <v>Mar</v>
      </c>
      <c r="K264"/>
      <c r="L264"/>
      <c r="M264" s="6"/>
      <c r="N264" s="6"/>
      <c r="O264" s="6"/>
      <c r="P264" s="3"/>
      <c r="Q264" s="3"/>
      <c r="R264" s="3"/>
      <c r="S264" s="3"/>
    </row>
    <row r="265" spans="2:19" s="2" customFormat="1" hidden="1" x14ac:dyDescent="0.25">
      <c r="B265">
        <v>10303</v>
      </c>
      <c r="C265" t="s">
        <v>120</v>
      </c>
      <c r="D265" s="6">
        <v>42624</v>
      </c>
      <c r="E265" s="6">
        <v>42652</v>
      </c>
      <c r="F265" s="6">
        <v>42631</v>
      </c>
      <c r="G265" s="3" t="s">
        <v>645</v>
      </c>
      <c r="H265" s="3">
        <v>539.15</v>
      </c>
      <c r="I265" s="3" t="s">
        <v>341</v>
      </c>
      <c r="J265" s="3" t="str">
        <f t="shared" si="3"/>
        <v>Sep</v>
      </c>
      <c r="K265"/>
      <c r="L265"/>
      <c r="M265" s="6"/>
      <c r="N265" s="6"/>
      <c r="O265" s="6"/>
      <c r="P265" s="3"/>
      <c r="Q265" s="3"/>
      <c r="R265" s="3"/>
      <c r="S265" s="3"/>
    </row>
    <row r="266" spans="2:19" s="2" customFormat="1" hidden="1" x14ac:dyDescent="0.25">
      <c r="B266">
        <v>10550</v>
      </c>
      <c r="C266" t="s">
        <v>120</v>
      </c>
      <c r="D266" s="6">
        <v>42883</v>
      </c>
      <c r="E266" s="6">
        <v>42911</v>
      </c>
      <c r="F266" s="6">
        <v>42892</v>
      </c>
      <c r="G266" s="3" t="s">
        <v>646</v>
      </c>
      <c r="H266" s="3">
        <v>21.6</v>
      </c>
      <c r="I266" s="3" t="s">
        <v>341</v>
      </c>
      <c r="J266" s="3" t="str">
        <f t="shared" si="3"/>
        <v>May</v>
      </c>
      <c r="K266"/>
      <c r="L266"/>
      <c r="M266" s="6"/>
      <c r="N266" s="6"/>
      <c r="O266" s="6"/>
      <c r="P266" s="3"/>
      <c r="Q266" s="3"/>
      <c r="R266" s="3"/>
      <c r="S266" s="3"/>
    </row>
    <row r="267" spans="2:19" s="2" customFormat="1" hidden="1" x14ac:dyDescent="0.25">
      <c r="B267">
        <v>10629</v>
      </c>
      <c r="C267" t="s">
        <v>120</v>
      </c>
      <c r="D267" s="6">
        <v>42959</v>
      </c>
      <c r="E267" s="6">
        <v>42987</v>
      </c>
      <c r="F267" s="6">
        <v>42967</v>
      </c>
      <c r="G267" s="3" t="s">
        <v>646</v>
      </c>
      <c r="H267" s="3">
        <v>427.29999999999995</v>
      </c>
      <c r="I267" s="3" t="s">
        <v>341</v>
      </c>
      <c r="J267" s="3" t="str">
        <f t="shared" si="3"/>
        <v>Aug</v>
      </c>
      <c r="K267"/>
      <c r="L267"/>
      <c r="M267" s="6"/>
      <c r="N267" s="6"/>
      <c r="O267" s="6"/>
      <c r="P267" s="3"/>
      <c r="Q267" s="3"/>
      <c r="R267" s="3"/>
      <c r="S267" s="3"/>
    </row>
    <row r="268" spans="2:19" s="2" customFormat="1" hidden="1" x14ac:dyDescent="0.25">
      <c r="B268">
        <v>10872</v>
      </c>
      <c r="C268" t="s">
        <v>120</v>
      </c>
      <c r="D268" s="6">
        <v>43136</v>
      </c>
      <c r="E268" s="6">
        <v>43164</v>
      </c>
      <c r="F268" s="6">
        <v>43140</v>
      </c>
      <c r="G268" s="3" t="s">
        <v>645</v>
      </c>
      <c r="H268" s="3">
        <v>876.59999999999991</v>
      </c>
      <c r="I268" s="3" t="s">
        <v>341</v>
      </c>
      <c r="J268" s="3" t="str">
        <f t="shared" si="3"/>
        <v>Feb</v>
      </c>
      <c r="K268"/>
      <c r="L268"/>
      <c r="M268" s="6"/>
      <c r="N268" s="6"/>
      <c r="O268" s="6"/>
      <c r="P268" s="3"/>
      <c r="Q268" s="3"/>
      <c r="R268" s="3"/>
      <c r="S268" s="3"/>
    </row>
    <row r="269" spans="2:19" s="2" customFormat="1" hidden="1" x14ac:dyDescent="0.25">
      <c r="B269">
        <v>10874</v>
      </c>
      <c r="C269" t="s">
        <v>120</v>
      </c>
      <c r="D269" s="6">
        <v>43137</v>
      </c>
      <c r="E269" s="6">
        <v>43165</v>
      </c>
      <c r="F269" s="6">
        <v>43142</v>
      </c>
      <c r="G269" s="3" t="s">
        <v>645</v>
      </c>
      <c r="H269" s="3">
        <v>97.899999999999991</v>
      </c>
      <c r="I269" s="3" t="s">
        <v>341</v>
      </c>
      <c r="J269" s="3" t="str">
        <f t="shared" si="3"/>
        <v>Feb</v>
      </c>
      <c r="K269"/>
      <c r="L269"/>
      <c r="M269" s="6"/>
      <c r="N269" s="6"/>
      <c r="O269" s="6"/>
      <c r="P269" s="3"/>
      <c r="Q269" s="3"/>
      <c r="R269" s="3"/>
      <c r="S269" s="3"/>
    </row>
    <row r="270" spans="2:19" s="2" customFormat="1" hidden="1" x14ac:dyDescent="0.25">
      <c r="B270">
        <v>10888</v>
      </c>
      <c r="C270" t="s">
        <v>120</v>
      </c>
      <c r="D270" s="6">
        <v>43147</v>
      </c>
      <c r="E270" s="6">
        <v>43175</v>
      </c>
      <c r="F270" s="6">
        <v>43154</v>
      </c>
      <c r="G270" s="3" t="s">
        <v>645</v>
      </c>
      <c r="H270" s="3">
        <v>259.34999999999997</v>
      </c>
      <c r="I270" s="3" t="s">
        <v>341</v>
      </c>
      <c r="J270" s="3" t="str">
        <f t="shared" si="3"/>
        <v>Feb</v>
      </c>
      <c r="K270"/>
      <c r="L270"/>
      <c r="M270" s="6"/>
      <c r="N270" s="6"/>
      <c r="O270" s="6"/>
      <c r="P270" s="3"/>
      <c r="Q270" s="3"/>
      <c r="R270" s="7"/>
      <c r="S270" s="3"/>
    </row>
    <row r="271" spans="2:19" s="2" customFormat="1" hidden="1" x14ac:dyDescent="0.25">
      <c r="B271">
        <v>10911</v>
      </c>
      <c r="C271" t="s">
        <v>120</v>
      </c>
      <c r="D271" s="6">
        <v>43157</v>
      </c>
      <c r="E271" s="6">
        <v>43185</v>
      </c>
      <c r="F271" s="6">
        <v>43164</v>
      </c>
      <c r="G271" s="3" t="s">
        <v>644</v>
      </c>
      <c r="H271" s="3">
        <v>190.95</v>
      </c>
      <c r="I271" s="3" t="s">
        <v>341</v>
      </c>
      <c r="J271" s="3" t="str">
        <f t="shared" si="3"/>
        <v>Feb</v>
      </c>
      <c r="K271"/>
      <c r="L271"/>
      <c r="M271" s="6"/>
      <c r="N271" s="6"/>
      <c r="O271" s="6"/>
      <c r="P271" s="3"/>
      <c r="Q271" s="3"/>
      <c r="R271" s="7"/>
      <c r="S271" s="3"/>
    </row>
    <row r="272" spans="2:19" s="2" customFormat="1" hidden="1" x14ac:dyDescent="0.25">
      <c r="B272">
        <v>10948</v>
      </c>
      <c r="C272" t="s">
        <v>120</v>
      </c>
      <c r="D272" s="6">
        <v>43172</v>
      </c>
      <c r="E272" s="6">
        <v>43200</v>
      </c>
      <c r="F272" s="6">
        <v>43178</v>
      </c>
      <c r="G272" s="3" t="s">
        <v>646</v>
      </c>
      <c r="H272" s="3">
        <v>116.95</v>
      </c>
      <c r="I272" s="3" t="s">
        <v>341</v>
      </c>
      <c r="J272" s="3" t="str">
        <f t="shared" si="3"/>
        <v>Mar</v>
      </c>
      <c r="K272"/>
      <c r="L272"/>
      <c r="M272" s="6"/>
      <c r="N272" s="6"/>
      <c r="O272" s="6"/>
      <c r="P272" s="3"/>
      <c r="Q272" s="3"/>
      <c r="R272" s="7"/>
      <c r="S272" s="3"/>
    </row>
    <row r="273" spans="2:19" s="2" customFormat="1" hidden="1" x14ac:dyDescent="0.25">
      <c r="B273">
        <v>11009</v>
      </c>
      <c r="C273" t="s">
        <v>120</v>
      </c>
      <c r="D273" s="6">
        <v>43198</v>
      </c>
      <c r="E273" s="6">
        <v>43226</v>
      </c>
      <c r="F273" s="6">
        <v>43200</v>
      </c>
      <c r="G273" s="3" t="s">
        <v>644</v>
      </c>
      <c r="H273" s="3">
        <v>295.55</v>
      </c>
      <c r="I273" s="3" t="s">
        <v>341</v>
      </c>
      <c r="J273" s="3" t="str">
        <f t="shared" ref="J273:J336" si="4">TEXT(D273,"mmm")</f>
        <v>Apr</v>
      </c>
      <c r="K273"/>
      <c r="L273"/>
      <c r="M273" s="6"/>
      <c r="N273" s="6"/>
      <c r="O273" s="6"/>
      <c r="P273" s="3"/>
      <c r="Q273" s="3"/>
      <c r="R273" s="7"/>
      <c r="S273" s="3"/>
    </row>
    <row r="274" spans="2:19" s="2" customFormat="1" hidden="1" x14ac:dyDescent="0.25">
      <c r="B274">
        <v>11037</v>
      </c>
      <c r="C274" t="s">
        <v>120</v>
      </c>
      <c r="D274" s="6">
        <v>43211</v>
      </c>
      <c r="E274" s="6">
        <v>43239</v>
      </c>
      <c r="F274" s="6">
        <v>43217</v>
      </c>
      <c r="G274" s="3" t="s">
        <v>644</v>
      </c>
      <c r="H274" s="3">
        <v>16</v>
      </c>
      <c r="I274" s="3" t="s">
        <v>341</v>
      </c>
      <c r="J274" s="3" t="str">
        <f t="shared" si="4"/>
        <v>Apr</v>
      </c>
      <c r="K274"/>
      <c r="L274"/>
      <c r="M274" s="6"/>
      <c r="N274" s="6"/>
      <c r="O274" s="6"/>
      <c r="P274" s="3"/>
      <c r="Q274" s="3"/>
      <c r="R274" s="7"/>
      <c r="S274" s="3"/>
    </row>
    <row r="275" spans="2:19" s="2" customFormat="1" hidden="1" x14ac:dyDescent="0.25">
      <c r="B275">
        <v>10423</v>
      </c>
      <c r="C275" t="s">
        <v>122</v>
      </c>
      <c r="D275" s="6">
        <v>42758</v>
      </c>
      <c r="E275" s="6">
        <v>42772</v>
      </c>
      <c r="F275" s="6">
        <v>42790</v>
      </c>
      <c r="G275" s="3" t="s">
        <v>646</v>
      </c>
      <c r="H275" s="3">
        <v>122.5</v>
      </c>
      <c r="I275" s="7" t="s">
        <v>342</v>
      </c>
      <c r="J275" s="3" t="str">
        <f t="shared" si="4"/>
        <v>Jan</v>
      </c>
      <c r="K275"/>
      <c r="L275"/>
      <c r="M275" s="6"/>
      <c r="N275" s="6"/>
      <c r="O275" s="6"/>
      <c r="P275" s="3"/>
      <c r="Q275" s="3"/>
      <c r="R275" s="7"/>
      <c r="S275" s="3"/>
    </row>
    <row r="276" spans="2:19" s="2" customFormat="1" hidden="1" x14ac:dyDescent="0.25">
      <c r="B276">
        <v>10652</v>
      </c>
      <c r="C276" t="s">
        <v>122</v>
      </c>
      <c r="D276" s="6">
        <v>42979</v>
      </c>
      <c r="E276" s="6">
        <v>43007</v>
      </c>
      <c r="F276" s="6">
        <v>42986</v>
      </c>
      <c r="G276" s="3" t="s">
        <v>645</v>
      </c>
      <c r="H276" s="3">
        <v>35.699999999999996</v>
      </c>
      <c r="I276" s="7" t="s">
        <v>342</v>
      </c>
      <c r="J276" s="3" t="str">
        <f t="shared" si="4"/>
        <v>Sep</v>
      </c>
      <c r="K276"/>
      <c r="L276"/>
      <c r="M276" s="6"/>
      <c r="N276" s="6"/>
      <c r="O276" s="6"/>
      <c r="P276" s="3"/>
      <c r="Q276" s="3"/>
      <c r="R276" s="7"/>
      <c r="S276" s="3"/>
    </row>
    <row r="277" spans="2:19" s="2" customFormat="1" hidden="1" x14ac:dyDescent="0.25">
      <c r="B277">
        <v>10685</v>
      </c>
      <c r="C277" t="s">
        <v>122</v>
      </c>
      <c r="D277" s="6">
        <v>43007</v>
      </c>
      <c r="E277" s="6">
        <v>43021</v>
      </c>
      <c r="F277" s="6">
        <v>43011</v>
      </c>
      <c r="G277" s="3" t="s">
        <v>645</v>
      </c>
      <c r="H277" s="3">
        <v>168.75</v>
      </c>
      <c r="I277" s="7" t="s">
        <v>342</v>
      </c>
      <c r="J277" s="3" t="str">
        <f t="shared" si="4"/>
        <v>Sep</v>
      </c>
      <c r="K277"/>
      <c r="L277"/>
      <c r="M277" s="6"/>
      <c r="N277" s="6"/>
      <c r="O277" s="6"/>
      <c r="P277" s="3"/>
      <c r="Q277" s="3"/>
      <c r="R277" s="7"/>
      <c r="S277" s="3"/>
    </row>
    <row r="278" spans="2:19" s="2" customFormat="1" hidden="1" x14ac:dyDescent="0.25">
      <c r="B278">
        <v>10709</v>
      </c>
      <c r="C278" t="s">
        <v>122</v>
      </c>
      <c r="D278" s="6">
        <v>43025</v>
      </c>
      <c r="E278" s="6">
        <v>43053</v>
      </c>
      <c r="F278" s="6">
        <v>43059</v>
      </c>
      <c r="G278" s="3" t="s">
        <v>646</v>
      </c>
      <c r="H278" s="3">
        <v>1054</v>
      </c>
      <c r="I278" s="7" t="s">
        <v>342</v>
      </c>
      <c r="J278" s="3" t="str">
        <f t="shared" si="4"/>
        <v>Oct</v>
      </c>
      <c r="K278"/>
      <c r="L278"/>
      <c r="M278" s="6"/>
      <c r="N278" s="6"/>
      <c r="O278" s="6"/>
      <c r="P278" s="3"/>
      <c r="Q278" s="3"/>
      <c r="R278" s="7"/>
      <c r="S278" s="3"/>
    </row>
    <row r="279" spans="2:19" s="2" customFormat="1" hidden="1" x14ac:dyDescent="0.25">
      <c r="B279">
        <v>10734</v>
      </c>
      <c r="C279" t="s">
        <v>122</v>
      </c>
      <c r="D279" s="6">
        <v>43046</v>
      </c>
      <c r="E279" s="6">
        <v>43074</v>
      </c>
      <c r="F279" s="6">
        <v>43051</v>
      </c>
      <c r="G279" s="3" t="s">
        <v>646</v>
      </c>
      <c r="H279" s="3">
        <v>8.1499999999999986</v>
      </c>
      <c r="I279" s="7" t="s">
        <v>342</v>
      </c>
      <c r="J279" s="3" t="str">
        <f t="shared" si="4"/>
        <v>Nov</v>
      </c>
      <c r="K279"/>
      <c r="L279"/>
      <c r="M279" s="6"/>
      <c r="N279" s="6"/>
      <c r="O279" s="6"/>
      <c r="P279" s="3"/>
      <c r="Q279" s="3"/>
      <c r="R279" s="3"/>
      <c r="S279" s="3"/>
    </row>
    <row r="280" spans="2:19" s="2" customFormat="1" hidden="1" x14ac:dyDescent="0.25">
      <c r="B280">
        <v>10777</v>
      </c>
      <c r="C280" t="s">
        <v>122</v>
      </c>
      <c r="D280" s="6">
        <v>43084</v>
      </c>
      <c r="E280" s="6">
        <v>43098</v>
      </c>
      <c r="F280" s="6">
        <v>43121</v>
      </c>
      <c r="G280" s="3" t="s">
        <v>645</v>
      </c>
      <c r="H280" s="3">
        <v>15.049999999999999</v>
      </c>
      <c r="I280" s="7" t="s">
        <v>342</v>
      </c>
      <c r="J280" s="3" t="str">
        <f t="shared" si="4"/>
        <v>Dec</v>
      </c>
      <c r="K280"/>
      <c r="L280"/>
      <c r="M280" s="6"/>
      <c r="N280" s="6"/>
      <c r="O280" s="6"/>
      <c r="P280" s="3"/>
      <c r="Q280" s="3"/>
      <c r="R280" s="3"/>
      <c r="S280" s="3"/>
    </row>
    <row r="281" spans="2:19" s="2" customFormat="1" hidden="1" x14ac:dyDescent="0.25">
      <c r="B281">
        <v>10790</v>
      </c>
      <c r="C281" t="s">
        <v>122</v>
      </c>
      <c r="D281" s="6">
        <v>43091</v>
      </c>
      <c r="E281" s="6">
        <v>43119</v>
      </c>
      <c r="F281" s="6">
        <v>43095</v>
      </c>
      <c r="G281" s="3" t="s">
        <v>644</v>
      </c>
      <c r="H281" s="3">
        <v>141.15</v>
      </c>
      <c r="I281" s="7" t="s">
        <v>342</v>
      </c>
      <c r="J281" s="3" t="str">
        <f t="shared" si="4"/>
        <v>Dec</v>
      </c>
      <c r="K281"/>
      <c r="L281"/>
      <c r="M281" s="6"/>
      <c r="N281" s="6"/>
      <c r="O281" s="6"/>
      <c r="P281" s="3"/>
      <c r="Q281" s="3"/>
      <c r="R281" s="3"/>
      <c r="S281" s="3"/>
    </row>
    <row r="282" spans="2:19" s="2" customFormat="1" hidden="1" x14ac:dyDescent="0.25">
      <c r="B282">
        <v>10959</v>
      </c>
      <c r="C282" t="s">
        <v>122</v>
      </c>
      <c r="D282" s="6">
        <v>43177</v>
      </c>
      <c r="E282" s="6">
        <v>43219</v>
      </c>
      <c r="F282" s="6">
        <v>43182</v>
      </c>
      <c r="G282" s="3" t="s">
        <v>645</v>
      </c>
      <c r="H282" s="3">
        <v>24.900000000000002</v>
      </c>
      <c r="I282" s="7" t="s">
        <v>342</v>
      </c>
      <c r="J282" s="3" t="str">
        <f t="shared" si="4"/>
        <v>Mar</v>
      </c>
      <c r="K282"/>
      <c r="L282"/>
      <c r="M282" s="6"/>
      <c r="N282" s="6"/>
      <c r="O282" s="6"/>
      <c r="P282" s="3"/>
      <c r="Q282" s="3"/>
      <c r="R282" s="3"/>
      <c r="S282" s="3"/>
    </row>
    <row r="283" spans="2:19" s="2" customFormat="1" hidden="1" x14ac:dyDescent="0.25">
      <c r="B283">
        <v>11049</v>
      </c>
      <c r="C283" t="s">
        <v>122</v>
      </c>
      <c r="D283" s="6">
        <v>43214</v>
      </c>
      <c r="E283" s="6">
        <v>43242</v>
      </c>
      <c r="F283" s="6">
        <v>43224</v>
      </c>
      <c r="G283" s="3" t="s">
        <v>644</v>
      </c>
      <c r="H283" s="3">
        <v>41.7</v>
      </c>
      <c r="I283" s="7" t="s">
        <v>342</v>
      </c>
      <c r="J283" s="3" t="str">
        <f t="shared" si="4"/>
        <v>Apr</v>
      </c>
      <c r="K283"/>
      <c r="L283"/>
      <c r="M283" s="6"/>
      <c r="N283" s="6"/>
      <c r="O283" s="6"/>
      <c r="P283" s="3"/>
      <c r="Q283" s="3"/>
      <c r="R283" s="3"/>
      <c r="S283" s="3"/>
    </row>
    <row r="284" spans="2:19" s="2" customFormat="1" hidden="1" x14ac:dyDescent="0.25">
      <c r="B284">
        <v>10528</v>
      </c>
      <c r="C284" t="s">
        <v>124</v>
      </c>
      <c r="D284" s="6">
        <v>42861</v>
      </c>
      <c r="E284" s="6">
        <v>42875</v>
      </c>
      <c r="F284" s="6">
        <v>42864</v>
      </c>
      <c r="G284" s="3" t="s">
        <v>645</v>
      </c>
      <c r="H284" s="3">
        <v>16.75</v>
      </c>
      <c r="I284" s="3" t="s">
        <v>343</v>
      </c>
      <c r="J284" s="3" t="str">
        <f t="shared" si="4"/>
        <v>May</v>
      </c>
      <c r="K284"/>
      <c r="L284"/>
      <c r="M284" s="6"/>
      <c r="N284" s="6"/>
      <c r="O284" s="6"/>
      <c r="P284" s="3"/>
      <c r="Q284" s="3"/>
      <c r="R284" s="3"/>
      <c r="S284" s="3"/>
    </row>
    <row r="285" spans="2:19" s="2" customFormat="1" hidden="1" x14ac:dyDescent="0.25">
      <c r="B285">
        <v>10589</v>
      </c>
      <c r="C285" t="s">
        <v>124</v>
      </c>
      <c r="D285" s="6">
        <v>42920</v>
      </c>
      <c r="E285" s="6">
        <v>42948</v>
      </c>
      <c r="F285" s="6">
        <v>42930</v>
      </c>
      <c r="G285" s="3" t="s">
        <v>645</v>
      </c>
      <c r="H285" s="3">
        <v>22.1</v>
      </c>
      <c r="I285" s="3" t="s">
        <v>343</v>
      </c>
      <c r="J285" s="3" t="str">
        <f t="shared" si="4"/>
        <v>Jul</v>
      </c>
      <c r="K285"/>
      <c r="L285"/>
      <c r="M285" s="6"/>
      <c r="N285" s="6"/>
      <c r="O285" s="6"/>
      <c r="P285" s="3"/>
      <c r="Q285" s="3"/>
      <c r="R285" s="3"/>
      <c r="S285" s="3"/>
    </row>
    <row r="286" spans="2:19" s="2" customFormat="1" hidden="1" x14ac:dyDescent="0.25">
      <c r="B286">
        <v>10616</v>
      </c>
      <c r="C286" t="s">
        <v>124</v>
      </c>
      <c r="D286" s="6">
        <v>42947</v>
      </c>
      <c r="E286" s="6">
        <v>42975</v>
      </c>
      <c r="F286" s="6">
        <v>42952</v>
      </c>
      <c r="G286" s="3" t="s">
        <v>645</v>
      </c>
      <c r="H286" s="3">
        <v>582.65</v>
      </c>
      <c r="I286" s="3" t="s">
        <v>343</v>
      </c>
      <c r="J286" s="3" t="str">
        <f t="shared" si="4"/>
        <v>Jul</v>
      </c>
      <c r="K286"/>
      <c r="L286"/>
      <c r="M286" s="6"/>
      <c r="N286" s="6"/>
      <c r="O286" s="6"/>
      <c r="P286" s="3"/>
      <c r="Q286" s="3"/>
      <c r="R286" s="3"/>
      <c r="S286" s="3"/>
    </row>
    <row r="287" spans="2:19" s="2" customFormat="1" hidden="1" x14ac:dyDescent="0.25">
      <c r="B287">
        <v>10617</v>
      </c>
      <c r="C287" t="s">
        <v>124</v>
      </c>
      <c r="D287" s="6">
        <v>42947</v>
      </c>
      <c r="E287" s="6">
        <v>42975</v>
      </c>
      <c r="F287" s="6">
        <v>42951</v>
      </c>
      <c r="G287" s="3" t="s">
        <v>645</v>
      </c>
      <c r="H287" s="3">
        <v>92.65</v>
      </c>
      <c r="I287" s="3" t="s">
        <v>343</v>
      </c>
      <c r="J287" s="3" t="str">
        <f t="shared" si="4"/>
        <v>Jul</v>
      </c>
      <c r="K287"/>
      <c r="L287"/>
      <c r="M287" s="6"/>
      <c r="N287" s="6"/>
      <c r="O287" s="6"/>
      <c r="P287" s="3"/>
      <c r="Q287" s="3"/>
      <c r="R287" s="3"/>
      <c r="S287" s="3"/>
    </row>
    <row r="288" spans="2:19" s="2" customFormat="1" hidden="1" x14ac:dyDescent="0.25">
      <c r="B288">
        <v>10656</v>
      </c>
      <c r="C288" t="s">
        <v>124</v>
      </c>
      <c r="D288" s="6">
        <v>42982</v>
      </c>
      <c r="E288" s="6">
        <v>43010</v>
      </c>
      <c r="F288" s="6">
        <v>42988</v>
      </c>
      <c r="G288" s="3" t="s">
        <v>644</v>
      </c>
      <c r="H288" s="3">
        <v>285.75</v>
      </c>
      <c r="I288" s="3" t="s">
        <v>343</v>
      </c>
      <c r="J288" s="3" t="str">
        <f t="shared" si="4"/>
        <v>Sep</v>
      </c>
      <c r="K288"/>
      <c r="L288"/>
      <c r="M288" s="6"/>
      <c r="N288" s="6"/>
      <c r="O288" s="6"/>
      <c r="P288" s="3"/>
      <c r="Q288" s="3"/>
      <c r="R288" s="3"/>
      <c r="S288" s="3"/>
    </row>
    <row r="289" spans="2:19" s="2" customFormat="1" hidden="1" x14ac:dyDescent="0.25">
      <c r="B289">
        <v>10681</v>
      </c>
      <c r="C289" t="s">
        <v>124</v>
      </c>
      <c r="D289" s="6">
        <v>43003</v>
      </c>
      <c r="E289" s="6">
        <v>43031</v>
      </c>
      <c r="F289" s="6">
        <v>43008</v>
      </c>
      <c r="G289" s="3" t="s">
        <v>646</v>
      </c>
      <c r="H289" s="3">
        <v>380.65</v>
      </c>
      <c r="I289" s="3" t="s">
        <v>343</v>
      </c>
      <c r="J289" s="3" t="str">
        <f t="shared" si="4"/>
        <v>Sep</v>
      </c>
      <c r="K289"/>
      <c r="L289"/>
      <c r="M289" s="6"/>
      <c r="N289" s="6"/>
      <c r="O289" s="6"/>
      <c r="P289" s="3"/>
      <c r="Q289" s="3"/>
      <c r="R289" s="3"/>
      <c r="S289" s="3"/>
    </row>
    <row r="290" spans="2:19" s="2" customFormat="1" hidden="1" x14ac:dyDescent="0.25">
      <c r="B290">
        <v>10816</v>
      </c>
      <c r="C290" t="s">
        <v>124</v>
      </c>
      <c r="D290" s="6">
        <v>43106</v>
      </c>
      <c r="E290" s="6">
        <v>43134</v>
      </c>
      <c r="F290" s="6">
        <v>43135</v>
      </c>
      <c r="G290" s="3" t="s">
        <v>645</v>
      </c>
      <c r="H290" s="3">
        <v>3598.8999999999996</v>
      </c>
      <c r="I290" s="3" t="s">
        <v>343</v>
      </c>
      <c r="J290" s="3" t="str">
        <f t="shared" si="4"/>
        <v>Jan</v>
      </c>
      <c r="K290"/>
      <c r="L290"/>
      <c r="M290" s="6"/>
      <c r="N290" s="6"/>
      <c r="O290" s="6"/>
      <c r="P290" s="3"/>
      <c r="Q290" s="3"/>
      <c r="R290" s="3"/>
      <c r="S290" s="3"/>
    </row>
    <row r="291" spans="2:19" s="2" customFormat="1" hidden="1" x14ac:dyDescent="0.25">
      <c r="B291">
        <v>10936</v>
      </c>
      <c r="C291" t="s">
        <v>124</v>
      </c>
      <c r="D291" s="6">
        <v>43168</v>
      </c>
      <c r="E291" s="6">
        <v>43196</v>
      </c>
      <c r="F291" s="6">
        <v>43177</v>
      </c>
      <c r="G291" s="3" t="s">
        <v>645</v>
      </c>
      <c r="H291" s="3">
        <v>168.4</v>
      </c>
      <c r="I291" s="3" t="s">
        <v>343</v>
      </c>
      <c r="J291" s="3" t="str">
        <f t="shared" si="4"/>
        <v>Mar</v>
      </c>
      <c r="K291"/>
      <c r="L291"/>
      <c r="M291" s="6"/>
      <c r="N291" s="6"/>
      <c r="O291" s="6"/>
      <c r="P291" s="3"/>
      <c r="Q291" s="3"/>
      <c r="R291" s="3"/>
      <c r="S291" s="3"/>
    </row>
    <row r="292" spans="2:19" s="2" customFormat="1" hidden="1" x14ac:dyDescent="0.25">
      <c r="B292">
        <v>11006</v>
      </c>
      <c r="C292" t="s">
        <v>124</v>
      </c>
      <c r="D292" s="6">
        <v>43197</v>
      </c>
      <c r="E292" s="6">
        <v>43225</v>
      </c>
      <c r="F292" s="6">
        <v>43205</v>
      </c>
      <c r="G292" s="3" t="s">
        <v>645</v>
      </c>
      <c r="H292" s="3">
        <v>125.95</v>
      </c>
      <c r="I292" s="3" t="s">
        <v>343</v>
      </c>
      <c r="J292" s="3" t="str">
        <f t="shared" si="4"/>
        <v>Apr</v>
      </c>
      <c r="K292"/>
      <c r="L292"/>
      <c r="M292" s="6"/>
      <c r="N292" s="6"/>
      <c r="O292" s="6"/>
      <c r="P292" s="3"/>
      <c r="Q292" s="3"/>
      <c r="R292" s="3"/>
      <c r="S292" s="3"/>
    </row>
    <row r="293" spans="2:19" s="2" customFormat="1" hidden="1" x14ac:dyDescent="0.25">
      <c r="B293">
        <v>11040</v>
      </c>
      <c r="C293" t="s">
        <v>124</v>
      </c>
      <c r="D293" s="6">
        <v>43212</v>
      </c>
      <c r="E293" s="6">
        <v>43240</v>
      </c>
      <c r="F293" s="6"/>
      <c r="G293" s="3" t="s">
        <v>646</v>
      </c>
      <c r="H293" s="3">
        <v>94.2</v>
      </c>
      <c r="I293" s="3" t="s">
        <v>343</v>
      </c>
      <c r="J293" s="3" t="str">
        <f t="shared" si="4"/>
        <v>Apr</v>
      </c>
      <c r="K293"/>
      <c r="L293"/>
      <c r="M293" s="6"/>
      <c r="N293" s="6"/>
      <c r="O293" s="6"/>
      <c r="P293" s="3"/>
      <c r="Q293" s="3"/>
      <c r="R293" s="3"/>
      <c r="S293" s="3"/>
    </row>
    <row r="294" spans="2:19" s="2" customFormat="1" hidden="1" x14ac:dyDescent="0.25">
      <c r="B294">
        <v>11061</v>
      </c>
      <c r="C294" t="s">
        <v>124</v>
      </c>
      <c r="D294" s="6">
        <v>43220</v>
      </c>
      <c r="E294" s="6">
        <v>43262</v>
      </c>
      <c r="F294" s="6"/>
      <c r="G294" s="3" t="s">
        <v>646</v>
      </c>
      <c r="H294" s="3">
        <v>70.05</v>
      </c>
      <c r="I294" s="3" t="s">
        <v>343</v>
      </c>
      <c r="J294" s="3" t="str">
        <f t="shared" si="4"/>
        <v>Apr</v>
      </c>
      <c r="K294"/>
      <c r="L294"/>
      <c r="M294" s="6"/>
      <c r="N294" s="6"/>
      <c r="O294" s="6"/>
      <c r="P294" s="3"/>
      <c r="Q294" s="3"/>
      <c r="R294" s="3"/>
      <c r="S294" s="3"/>
    </row>
    <row r="295" spans="2:19" s="2" customFormat="1" hidden="1" x14ac:dyDescent="0.25">
      <c r="B295">
        <v>10268</v>
      </c>
      <c r="C295" t="s">
        <v>127</v>
      </c>
      <c r="D295" s="6">
        <v>42581</v>
      </c>
      <c r="E295" s="6">
        <v>42609</v>
      </c>
      <c r="F295" s="6">
        <v>42584</v>
      </c>
      <c r="G295" s="3" t="s">
        <v>646</v>
      </c>
      <c r="H295" s="3">
        <v>331.45000000000005</v>
      </c>
      <c r="I295" s="3" t="s">
        <v>344</v>
      </c>
      <c r="J295" s="3" t="str">
        <f t="shared" si="4"/>
        <v>Jul</v>
      </c>
      <c r="K295"/>
      <c r="L295"/>
      <c r="M295" s="6"/>
      <c r="N295" s="6"/>
      <c r="O295" s="6"/>
      <c r="P295" s="3"/>
      <c r="Q295" s="3"/>
      <c r="R295" s="3"/>
      <c r="S295" s="3"/>
    </row>
    <row r="296" spans="2:19" s="2" customFormat="1" hidden="1" x14ac:dyDescent="0.25">
      <c r="B296">
        <v>10785</v>
      </c>
      <c r="C296" t="s">
        <v>127</v>
      </c>
      <c r="D296" s="6">
        <v>43087</v>
      </c>
      <c r="E296" s="6">
        <v>43115</v>
      </c>
      <c r="F296" s="6">
        <v>43093</v>
      </c>
      <c r="G296" s="3" t="s">
        <v>646</v>
      </c>
      <c r="H296" s="3">
        <v>7.55</v>
      </c>
      <c r="I296" s="3" t="s">
        <v>344</v>
      </c>
      <c r="J296" s="3" t="str">
        <f t="shared" si="4"/>
        <v>Dec</v>
      </c>
      <c r="K296"/>
      <c r="L296"/>
      <c r="M296" s="6"/>
      <c r="N296" s="6"/>
      <c r="O296" s="6"/>
      <c r="P296" s="3"/>
      <c r="Q296" s="3"/>
      <c r="R296" s="3"/>
      <c r="S296" s="3"/>
    </row>
    <row r="297" spans="2:19" s="2" customFormat="1" hidden="1" x14ac:dyDescent="0.25">
      <c r="B297">
        <v>10250</v>
      </c>
      <c r="C297" t="s">
        <v>130</v>
      </c>
      <c r="D297" s="6">
        <v>42559</v>
      </c>
      <c r="E297" s="6">
        <v>42587</v>
      </c>
      <c r="F297" s="6">
        <v>42563</v>
      </c>
      <c r="G297" s="3" t="s">
        <v>645</v>
      </c>
      <c r="H297" s="3">
        <v>329.15</v>
      </c>
      <c r="I297" s="3" t="s">
        <v>345</v>
      </c>
      <c r="J297" s="3" t="str">
        <f t="shared" si="4"/>
        <v>Jul</v>
      </c>
      <c r="K297"/>
      <c r="L297"/>
      <c r="M297" s="6"/>
      <c r="N297" s="6"/>
      <c r="O297" s="6"/>
      <c r="P297" s="3"/>
      <c r="Q297" s="3"/>
      <c r="R297" s="3"/>
      <c r="S297" s="3"/>
    </row>
    <row r="298" spans="2:19" s="2" customFormat="1" hidden="1" x14ac:dyDescent="0.25">
      <c r="B298">
        <v>10253</v>
      </c>
      <c r="C298" t="s">
        <v>130</v>
      </c>
      <c r="D298" s="6">
        <v>42561</v>
      </c>
      <c r="E298" s="6">
        <v>42575</v>
      </c>
      <c r="F298" s="6">
        <v>42567</v>
      </c>
      <c r="G298" s="3" t="s">
        <v>645</v>
      </c>
      <c r="H298" s="3">
        <v>290.85000000000002</v>
      </c>
      <c r="I298" s="3" t="s">
        <v>345</v>
      </c>
      <c r="J298" s="3" t="str">
        <f t="shared" si="4"/>
        <v>Jul</v>
      </c>
      <c r="K298"/>
      <c r="L298"/>
      <c r="M298" s="6"/>
      <c r="N298" s="6"/>
      <c r="O298" s="6"/>
      <c r="P298" s="3"/>
      <c r="Q298" s="3"/>
      <c r="R298" s="3"/>
      <c r="S298" s="3"/>
    </row>
    <row r="299" spans="2:19" s="2" customFormat="1" hidden="1" x14ac:dyDescent="0.25">
      <c r="B299">
        <v>10541</v>
      </c>
      <c r="C299" t="s">
        <v>130</v>
      </c>
      <c r="D299" s="6">
        <v>42874</v>
      </c>
      <c r="E299" s="6">
        <v>42902</v>
      </c>
      <c r="F299" s="6">
        <v>42884</v>
      </c>
      <c r="G299" s="3" t="s">
        <v>644</v>
      </c>
      <c r="H299" s="3">
        <v>343.25</v>
      </c>
      <c r="I299" s="3" t="s">
        <v>345</v>
      </c>
      <c r="J299" s="3" t="str">
        <f t="shared" si="4"/>
        <v>May</v>
      </c>
      <c r="K299"/>
      <c r="L299"/>
      <c r="M299" s="6"/>
      <c r="N299" s="6"/>
      <c r="O299" s="6"/>
      <c r="P299" s="3"/>
      <c r="Q299" s="3"/>
      <c r="R299" s="3"/>
      <c r="S299" s="3"/>
    </row>
    <row r="300" spans="2:19" s="2" customFormat="1" hidden="1" x14ac:dyDescent="0.25">
      <c r="B300">
        <v>10645</v>
      </c>
      <c r="C300" t="s">
        <v>130</v>
      </c>
      <c r="D300" s="6">
        <v>42973</v>
      </c>
      <c r="E300" s="6">
        <v>43001</v>
      </c>
      <c r="F300" s="6">
        <v>42980</v>
      </c>
      <c r="G300" s="3" t="s">
        <v>644</v>
      </c>
      <c r="H300" s="3">
        <v>62.05</v>
      </c>
      <c r="I300" s="3" t="s">
        <v>345</v>
      </c>
      <c r="J300" s="3" t="str">
        <f t="shared" si="4"/>
        <v>Aug</v>
      </c>
      <c r="K300"/>
      <c r="L300"/>
      <c r="M300" s="6"/>
      <c r="N300" s="6"/>
      <c r="O300" s="6"/>
      <c r="P300" s="3"/>
      <c r="Q300" s="3"/>
      <c r="R300" s="3"/>
      <c r="S300" s="3"/>
    </row>
    <row r="301" spans="2:19" s="2" customFormat="1" hidden="1" x14ac:dyDescent="0.25">
      <c r="B301">
        <v>10690</v>
      </c>
      <c r="C301" t="s">
        <v>130</v>
      </c>
      <c r="D301" s="6">
        <v>43010</v>
      </c>
      <c r="E301" s="6">
        <v>43038</v>
      </c>
      <c r="F301" s="6">
        <v>43011</v>
      </c>
      <c r="G301" s="3" t="s">
        <v>644</v>
      </c>
      <c r="H301" s="3">
        <v>79</v>
      </c>
      <c r="I301" s="3" t="s">
        <v>345</v>
      </c>
      <c r="J301" s="3" t="str">
        <f t="shared" si="4"/>
        <v>Oct</v>
      </c>
      <c r="K301"/>
      <c r="L301"/>
      <c r="M301" s="6"/>
      <c r="N301" s="6"/>
      <c r="O301" s="6"/>
      <c r="P301" s="3"/>
      <c r="Q301" s="3"/>
      <c r="R301" s="3"/>
      <c r="S301" s="3"/>
    </row>
    <row r="302" spans="2:19" s="2" customFormat="1" hidden="1" x14ac:dyDescent="0.25">
      <c r="B302">
        <v>10770</v>
      </c>
      <c r="C302" t="s">
        <v>130</v>
      </c>
      <c r="D302" s="6">
        <v>43078</v>
      </c>
      <c r="E302" s="6">
        <v>43106</v>
      </c>
      <c r="F302" s="6">
        <v>43086</v>
      </c>
      <c r="G302" s="3" t="s">
        <v>646</v>
      </c>
      <c r="H302" s="3">
        <v>26.6</v>
      </c>
      <c r="I302" s="3" t="s">
        <v>345</v>
      </c>
      <c r="J302" s="3" t="str">
        <f t="shared" si="4"/>
        <v>Dec</v>
      </c>
      <c r="K302"/>
      <c r="L302"/>
      <c r="M302" s="6"/>
      <c r="N302" s="6"/>
      <c r="O302" s="6"/>
      <c r="P302" s="3"/>
      <c r="Q302" s="3"/>
      <c r="R302" s="3"/>
      <c r="S302" s="3"/>
    </row>
    <row r="303" spans="2:19" s="2" customFormat="1" hidden="1" x14ac:dyDescent="0.25">
      <c r="B303">
        <v>10783</v>
      </c>
      <c r="C303" t="s">
        <v>130</v>
      </c>
      <c r="D303" s="6">
        <v>43087</v>
      </c>
      <c r="E303" s="6">
        <v>43115</v>
      </c>
      <c r="F303" s="6">
        <v>43088</v>
      </c>
      <c r="G303" s="3" t="s">
        <v>645</v>
      </c>
      <c r="H303" s="3">
        <v>624.9</v>
      </c>
      <c r="I303" s="3" t="s">
        <v>345</v>
      </c>
      <c r="J303" s="3" t="str">
        <f t="shared" si="4"/>
        <v>Dec</v>
      </c>
      <c r="K303"/>
      <c r="L303"/>
      <c r="M303" s="6"/>
      <c r="N303" s="6"/>
      <c r="O303" s="6"/>
      <c r="P303" s="3"/>
      <c r="Q303" s="3"/>
      <c r="R303" s="3"/>
      <c r="S303" s="3"/>
    </row>
    <row r="304" spans="2:19" s="2" customFormat="1" hidden="1" x14ac:dyDescent="0.25">
      <c r="B304">
        <v>10886</v>
      </c>
      <c r="C304" t="s">
        <v>130</v>
      </c>
      <c r="D304" s="6">
        <v>43144</v>
      </c>
      <c r="E304" s="6">
        <v>43172</v>
      </c>
      <c r="F304" s="6">
        <v>43161</v>
      </c>
      <c r="G304" s="3" t="s">
        <v>644</v>
      </c>
      <c r="H304" s="3">
        <v>24.950000000000003</v>
      </c>
      <c r="I304" s="3" t="s">
        <v>345</v>
      </c>
      <c r="J304" s="3" t="str">
        <f t="shared" si="4"/>
        <v>Feb</v>
      </c>
      <c r="K304"/>
      <c r="L304"/>
      <c r="M304" s="6"/>
      <c r="N304" s="6"/>
      <c r="O304" s="6"/>
      <c r="P304" s="3"/>
      <c r="Q304" s="3"/>
      <c r="R304" s="3"/>
      <c r="S304" s="3"/>
    </row>
    <row r="305" spans="2:19" s="2" customFormat="1" hidden="1" x14ac:dyDescent="0.25">
      <c r="B305">
        <v>10903</v>
      </c>
      <c r="C305" t="s">
        <v>130</v>
      </c>
      <c r="D305" s="6">
        <v>43155</v>
      </c>
      <c r="E305" s="6">
        <v>43183</v>
      </c>
      <c r="F305" s="6">
        <v>43163</v>
      </c>
      <c r="G305" s="3" t="s">
        <v>646</v>
      </c>
      <c r="H305" s="3">
        <v>183.55</v>
      </c>
      <c r="I305" s="3" t="s">
        <v>345</v>
      </c>
      <c r="J305" s="3" t="str">
        <f t="shared" si="4"/>
        <v>Feb</v>
      </c>
      <c r="K305"/>
      <c r="L305"/>
      <c r="M305" s="6"/>
      <c r="N305" s="6"/>
      <c r="O305" s="6"/>
      <c r="P305" s="3"/>
      <c r="Q305" s="3"/>
      <c r="R305" s="3"/>
      <c r="S305" s="3"/>
    </row>
    <row r="306" spans="2:19" s="2" customFormat="1" hidden="1" x14ac:dyDescent="0.25">
      <c r="B306">
        <v>10922</v>
      </c>
      <c r="C306" t="s">
        <v>130</v>
      </c>
      <c r="D306" s="6">
        <v>43162</v>
      </c>
      <c r="E306" s="6">
        <v>43190</v>
      </c>
      <c r="F306" s="6">
        <v>43164</v>
      </c>
      <c r="G306" s="3" t="s">
        <v>646</v>
      </c>
      <c r="H306" s="3">
        <v>313.7</v>
      </c>
      <c r="I306" s="3" t="s">
        <v>345</v>
      </c>
      <c r="J306" s="3" t="str">
        <f t="shared" si="4"/>
        <v>Mar</v>
      </c>
      <c r="K306"/>
      <c r="L306"/>
      <c r="M306" s="6"/>
      <c r="N306" s="6"/>
      <c r="O306" s="6"/>
      <c r="P306" s="3"/>
      <c r="Q306" s="3"/>
      <c r="R306" s="3"/>
      <c r="S306" s="3"/>
    </row>
    <row r="307" spans="2:19" s="2" customFormat="1" hidden="1" x14ac:dyDescent="0.25">
      <c r="B307">
        <v>10925</v>
      </c>
      <c r="C307" t="s">
        <v>130</v>
      </c>
      <c r="D307" s="6">
        <v>43163</v>
      </c>
      <c r="E307" s="6">
        <v>43191</v>
      </c>
      <c r="F307" s="6">
        <v>43172</v>
      </c>
      <c r="G307" s="3" t="s">
        <v>644</v>
      </c>
      <c r="H307" s="3">
        <v>11.35</v>
      </c>
      <c r="I307" s="3" t="s">
        <v>345</v>
      </c>
      <c r="J307" s="3" t="str">
        <f t="shared" si="4"/>
        <v>Mar</v>
      </c>
      <c r="K307"/>
      <c r="L307"/>
      <c r="M307" s="6"/>
      <c r="N307" s="6"/>
      <c r="O307" s="6"/>
      <c r="P307" s="3"/>
      <c r="Q307" s="3"/>
      <c r="R307" s="3"/>
      <c r="S307" s="3"/>
    </row>
    <row r="308" spans="2:19" s="2" customFormat="1" hidden="1" x14ac:dyDescent="0.25">
      <c r="B308">
        <v>10981</v>
      </c>
      <c r="C308" t="s">
        <v>130</v>
      </c>
      <c r="D308" s="6">
        <v>43186</v>
      </c>
      <c r="E308" s="6">
        <v>43214</v>
      </c>
      <c r="F308" s="6">
        <v>43192</v>
      </c>
      <c r="G308" s="3" t="s">
        <v>645</v>
      </c>
      <c r="H308" s="3">
        <v>966.85</v>
      </c>
      <c r="I308" s="3" t="s">
        <v>345</v>
      </c>
      <c r="J308" s="3" t="str">
        <f t="shared" si="4"/>
        <v>Mar</v>
      </c>
      <c r="K308"/>
      <c r="L308"/>
      <c r="M308" s="6"/>
      <c r="N308" s="6"/>
      <c r="O308" s="6"/>
      <c r="P308" s="3"/>
      <c r="Q308" s="3"/>
      <c r="R308" s="3"/>
      <c r="S308" s="3"/>
    </row>
    <row r="309" spans="2:19" s="2" customFormat="1" hidden="1" x14ac:dyDescent="0.25">
      <c r="B309">
        <v>11022</v>
      </c>
      <c r="C309" t="s">
        <v>130</v>
      </c>
      <c r="D309" s="6">
        <v>43204</v>
      </c>
      <c r="E309" s="6">
        <v>43232</v>
      </c>
      <c r="F309" s="6">
        <v>43224</v>
      </c>
      <c r="G309" s="3" t="s">
        <v>645</v>
      </c>
      <c r="H309" s="3">
        <v>31.349999999999998</v>
      </c>
      <c r="I309" s="3" t="s">
        <v>345</v>
      </c>
      <c r="J309" s="3" t="str">
        <f t="shared" si="4"/>
        <v>Apr</v>
      </c>
      <c r="K309"/>
      <c r="L309"/>
      <c r="M309" s="6"/>
      <c r="N309" s="6"/>
      <c r="O309" s="6"/>
      <c r="P309" s="3"/>
      <c r="Q309" s="3"/>
      <c r="R309" s="3"/>
      <c r="S309" s="3"/>
    </row>
    <row r="310" spans="2:19" s="2" customFormat="1" hidden="1" x14ac:dyDescent="0.25">
      <c r="B310">
        <v>11052</v>
      </c>
      <c r="C310" t="s">
        <v>130</v>
      </c>
      <c r="D310" s="6">
        <v>43217</v>
      </c>
      <c r="E310" s="6">
        <v>43245</v>
      </c>
      <c r="F310" s="6">
        <v>43221</v>
      </c>
      <c r="G310" s="3" t="s">
        <v>644</v>
      </c>
      <c r="H310" s="3">
        <v>336.3</v>
      </c>
      <c r="I310" s="3" t="s">
        <v>345</v>
      </c>
      <c r="J310" s="3" t="str">
        <f t="shared" si="4"/>
        <v>Apr</v>
      </c>
      <c r="K310"/>
      <c r="L310"/>
      <c r="M310" s="6"/>
      <c r="N310" s="6"/>
      <c r="O310" s="6"/>
      <c r="P310" s="3"/>
      <c r="Q310" s="3"/>
      <c r="R310" s="3"/>
      <c r="S310" s="3"/>
    </row>
    <row r="311" spans="2:19" s="2" customFormat="1" hidden="1" x14ac:dyDescent="0.25">
      <c r="B311">
        <v>10257</v>
      </c>
      <c r="C311" t="s">
        <v>134</v>
      </c>
      <c r="D311" s="6">
        <v>42567</v>
      </c>
      <c r="E311" s="6">
        <v>42595</v>
      </c>
      <c r="F311" s="6">
        <v>42573</v>
      </c>
      <c r="G311" s="3" t="s">
        <v>646</v>
      </c>
      <c r="H311" s="3">
        <v>409.54999999999995</v>
      </c>
      <c r="I311" s="3" t="s">
        <v>346</v>
      </c>
      <c r="J311" s="3" t="str">
        <f t="shared" si="4"/>
        <v>Jul</v>
      </c>
      <c r="K311"/>
      <c r="L311"/>
      <c r="M311" s="6"/>
      <c r="N311" s="6"/>
      <c r="O311" s="6"/>
      <c r="P311" s="3"/>
      <c r="Q311" s="3"/>
      <c r="R311" s="3"/>
      <c r="S311" s="3"/>
    </row>
    <row r="312" spans="2:19" s="2" customFormat="1" hidden="1" x14ac:dyDescent="0.25">
      <c r="B312">
        <v>10395</v>
      </c>
      <c r="C312" t="s">
        <v>134</v>
      </c>
      <c r="D312" s="6">
        <v>42730</v>
      </c>
      <c r="E312" s="6">
        <v>42758</v>
      </c>
      <c r="F312" s="6">
        <v>42738</v>
      </c>
      <c r="G312" s="3" t="s">
        <v>644</v>
      </c>
      <c r="H312" s="3">
        <v>922.05</v>
      </c>
      <c r="I312" s="3" t="s">
        <v>346</v>
      </c>
      <c r="J312" s="3" t="str">
        <f t="shared" si="4"/>
        <v>Dec</v>
      </c>
      <c r="K312"/>
      <c r="L312"/>
      <c r="M312" s="6"/>
      <c r="N312" s="6"/>
      <c r="O312" s="6"/>
      <c r="P312" s="3"/>
      <c r="Q312" s="3"/>
      <c r="R312" s="3"/>
      <c r="S312" s="3"/>
    </row>
    <row r="313" spans="2:19" s="2" customFormat="1" hidden="1" x14ac:dyDescent="0.25">
      <c r="B313">
        <v>10476</v>
      </c>
      <c r="C313" t="s">
        <v>134</v>
      </c>
      <c r="D313" s="6">
        <v>42811</v>
      </c>
      <c r="E313" s="6">
        <v>42839</v>
      </c>
      <c r="F313" s="6">
        <v>42818</v>
      </c>
      <c r="G313" s="3" t="s">
        <v>646</v>
      </c>
      <c r="H313" s="3">
        <v>22.05</v>
      </c>
      <c r="I313" s="3" t="s">
        <v>346</v>
      </c>
      <c r="J313" s="3" t="str">
        <f t="shared" si="4"/>
        <v>Mar</v>
      </c>
      <c r="K313"/>
      <c r="L313"/>
      <c r="M313" s="6"/>
      <c r="N313" s="6"/>
      <c r="O313" s="6"/>
      <c r="P313" s="3"/>
      <c r="Q313" s="3"/>
      <c r="R313" s="3"/>
      <c r="S313" s="3"/>
    </row>
    <row r="314" spans="2:19" s="2" customFormat="1" hidden="1" x14ac:dyDescent="0.25">
      <c r="B314">
        <v>10486</v>
      </c>
      <c r="C314" t="s">
        <v>134</v>
      </c>
      <c r="D314" s="6">
        <v>42820</v>
      </c>
      <c r="E314" s="6">
        <v>42848</v>
      </c>
      <c r="F314" s="6">
        <v>42827</v>
      </c>
      <c r="G314" s="3" t="s">
        <v>645</v>
      </c>
      <c r="H314" s="3">
        <v>152.65</v>
      </c>
      <c r="I314" s="3" t="s">
        <v>346</v>
      </c>
      <c r="J314" s="3" t="str">
        <f t="shared" si="4"/>
        <v>Mar</v>
      </c>
      <c r="K314"/>
      <c r="L314"/>
      <c r="M314" s="6"/>
      <c r="N314" s="6"/>
      <c r="O314" s="6"/>
      <c r="P314" s="3"/>
      <c r="Q314" s="3"/>
      <c r="R314" s="3"/>
      <c r="S314" s="3"/>
    </row>
    <row r="315" spans="2:19" s="2" customFormat="1" hidden="1" x14ac:dyDescent="0.25">
      <c r="B315">
        <v>10490</v>
      </c>
      <c r="C315" t="s">
        <v>134</v>
      </c>
      <c r="D315" s="6">
        <v>42825</v>
      </c>
      <c r="E315" s="6">
        <v>42853</v>
      </c>
      <c r="F315" s="6">
        <v>42828</v>
      </c>
      <c r="G315" s="3" t="s">
        <v>645</v>
      </c>
      <c r="H315" s="3">
        <v>1050.95</v>
      </c>
      <c r="I315" s="3" t="s">
        <v>346</v>
      </c>
      <c r="J315" s="3" t="str">
        <f t="shared" si="4"/>
        <v>Mar</v>
      </c>
      <c r="K315"/>
      <c r="L315"/>
      <c r="M315" s="6"/>
      <c r="N315" s="6"/>
      <c r="O315" s="6"/>
      <c r="P315" s="3"/>
      <c r="Q315" s="3"/>
      <c r="R315" s="3"/>
      <c r="S315" s="3"/>
    </row>
    <row r="316" spans="2:19" s="2" customFormat="1" hidden="1" x14ac:dyDescent="0.25">
      <c r="B316">
        <v>10498</v>
      </c>
      <c r="C316" t="s">
        <v>134</v>
      </c>
      <c r="D316" s="6">
        <v>42832</v>
      </c>
      <c r="E316" s="6">
        <v>42860</v>
      </c>
      <c r="F316" s="6">
        <v>42836</v>
      </c>
      <c r="G316" s="3" t="s">
        <v>645</v>
      </c>
      <c r="H316" s="3">
        <v>148.75</v>
      </c>
      <c r="I316" s="3" t="s">
        <v>346</v>
      </c>
      <c r="J316" s="3" t="str">
        <f t="shared" si="4"/>
        <v>Apr</v>
      </c>
      <c r="K316"/>
      <c r="L316"/>
      <c r="M316" s="6"/>
      <c r="N316" s="6"/>
      <c r="O316" s="6"/>
      <c r="P316" s="3"/>
      <c r="Q316" s="3"/>
      <c r="R316" s="3"/>
      <c r="S316" s="3"/>
    </row>
    <row r="317" spans="2:19" s="2" customFormat="1" hidden="1" x14ac:dyDescent="0.25">
      <c r="B317">
        <v>10552</v>
      </c>
      <c r="C317" t="s">
        <v>134</v>
      </c>
      <c r="D317" s="6">
        <v>42884</v>
      </c>
      <c r="E317" s="6">
        <v>42912</v>
      </c>
      <c r="F317" s="6">
        <v>42891</v>
      </c>
      <c r="G317" s="3" t="s">
        <v>644</v>
      </c>
      <c r="H317" s="3">
        <v>416.1</v>
      </c>
      <c r="I317" s="3" t="s">
        <v>346</v>
      </c>
      <c r="J317" s="3" t="str">
        <f t="shared" si="4"/>
        <v>May</v>
      </c>
      <c r="K317"/>
      <c r="L317"/>
      <c r="M317" s="6"/>
      <c r="N317" s="6"/>
      <c r="O317" s="6"/>
      <c r="P317" s="3"/>
      <c r="Q317" s="3"/>
      <c r="R317" s="3"/>
      <c r="S317" s="3"/>
    </row>
    <row r="318" spans="2:19" s="2" customFormat="1" hidden="1" x14ac:dyDescent="0.25">
      <c r="B318">
        <v>10601</v>
      </c>
      <c r="C318" t="s">
        <v>134</v>
      </c>
      <c r="D318" s="6">
        <v>42932</v>
      </c>
      <c r="E318" s="6">
        <v>42974</v>
      </c>
      <c r="F318" s="6">
        <v>42938</v>
      </c>
      <c r="G318" s="3" t="s">
        <v>644</v>
      </c>
      <c r="H318" s="3">
        <v>291.5</v>
      </c>
      <c r="I318" s="3" t="s">
        <v>346</v>
      </c>
      <c r="J318" s="3" t="str">
        <f t="shared" si="4"/>
        <v>Jul</v>
      </c>
      <c r="K318"/>
      <c r="L318"/>
      <c r="M318" s="6"/>
      <c r="N318" s="6"/>
      <c r="O318" s="6"/>
      <c r="P318" s="3"/>
      <c r="Q318" s="3"/>
      <c r="R318" s="3"/>
      <c r="S318" s="3"/>
    </row>
    <row r="319" spans="2:19" s="2" customFormat="1" hidden="1" x14ac:dyDescent="0.25">
      <c r="B319">
        <v>10613</v>
      </c>
      <c r="C319" t="s">
        <v>134</v>
      </c>
      <c r="D319" s="6">
        <v>42945</v>
      </c>
      <c r="E319" s="6">
        <v>42973</v>
      </c>
      <c r="F319" s="6">
        <v>42948</v>
      </c>
      <c r="G319" s="3" t="s">
        <v>645</v>
      </c>
      <c r="H319" s="3">
        <v>40.549999999999997</v>
      </c>
      <c r="I319" s="3" t="s">
        <v>346</v>
      </c>
      <c r="J319" s="3" t="str">
        <f t="shared" si="4"/>
        <v>Jul</v>
      </c>
      <c r="K319"/>
      <c r="L319"/>
      <c r="M319" s="6"/>
      <c r="N319" s="6"/>
      <c r="O319" s="6"/>
      <c r="P319" s="3"/>
      <c r="Q319" s="3"/>
      <c r="R319" s="3"/>
      <c r="S319" s="3"/>
    </row>
    <row r="320" spans="2:19" s="2" customFormat="1" hidden="1" x14ac:dyDescent="0.25">
      <c r="B320">
        <v>10641</v>
      </c>
      <c r="C320" t="s">
        <v>134</v>
      </c>
      <c r="D320" s="6">
        <v>42969</v>
      </c>
      <c r="E320" s="6">
        <v>42997</v>
      </c>
      <c r="F320" s="6">
        <v>42973</v>
      </c>
      <c r="G320" s="3" t="s">
        <v>645</v>
      </c>
      <c r="H320" s="3">
        <v>898.05000000000007</v>
      </c>
      <c r="I320" s="3" t="s">
        <v>346</v>
      </c>
      <c r="J320" s="3" t="str">
        <f t="shared" si="4"/>
        <v>Aug</v>
      </c>
      <c r="K320"/>
      <c r="L320"/>
      <c r="M320" s="6"/>
      <c r="N320" s="6"/>
      <c r="O320" s="6"/>
      <c r="P320" s="3"/>
      <c r="Q320" s="3"/>
      <c r="R320" s="3"/>
      <c r="S320" s="3"/>
    </row>
    <row r="321" spans="2:19" s="2" customFormat="1" hidden="1" x14ac:dyDescent="0.25">
      <c r="B321">
        <v>10705</v>
      </c>
      <c r="C321" t="s">
        <v>134</v>
      </c>
      <c r="D321" s="6">
        <v>43023</v>
      </c>
      <c r="E321" s="6">
        <v>43051</v>
      </c>
      <c r="F321" s="6">
        <v>43057</v>
      </c>
      <c r="G321" s="3" t="s">
        <v>645</v>
      </c>
      <c r="H321" s="3">
        <v>17.600000000000001</v>
      </c>
      <c r="I321" s="3" t="s">
        <v>346</v>
      </c>
      <c r="J321" s="3" t="str">
        <f t="shared" si="4"/>
        <v>Oct</v>
      </c>
      <c r="K321"/>
      <c r="L321"/>
      <c r="M321" s="6"/>
      <c r="N321" s="6"/>
      <c r="O321" s="6"/>
      <c r="P321" s="3"/>
      <c r="Q321" s="3"/>
      <c r="R321" s="3"/>
      <c r="S321" s="3"/>
    </row>
    <row r="322" spans="2:19" s="2" customFormat="1" hidden="1" x14ac:dyDescent="0.25">
      <c r="B322">
        <v>10796</v>
      </c>
      <c r="C322" t="s">
        <v>134</v>
      </c>
      <c r="D322" s="6">
        <v>43094</v>
      </c>
      <c r="E322" s="6">
        <v>43122</v>
      </c>
      <c r="F322" s="6">
        <v>43114</v>
      </c>
      <c r="G322" s="3" t="s">
        <v>644</v>
      </c>
      <c r="H322" s="3">
        <v>132.6</v>
      </c>
      <c r="I322" s="3" t="s">
        <v>346</v>
      </c>
      <c r="J322" s="3" t="str">
        <f t="shared" si="4"/>
        <v>Dec</v>
      </c>
      <c r="K322"/>
      <c r="L322"/>
      <c r="M322" s="6"/>
      <c r="N322" s="6"/>
      <c r="O322" s="6"/>
      <c r="P322" s="3"/>
      <c r="Q322" s="3"/>
      <c r="R322" s="3"/>
      <c r="S322" s="3"/>
    </row>
    <row r="323" spans="2:19" s="2" customFormat="1" hidden="1" x14ac:dyDescent="0.25">
      <c r="B323">
        <v>10863</v>
      </c>
      <c r="C323" t="s">
        <v>134</v>
      </c>
      <c r="D323" s="6">
        <v>43133</v>
      </c>
      <c r="E323" s="6">
        <v>43161</v>
      </c>
      <c r="F323" s="6">
        <v>43148</v>
      </c>
      <c r="G323" s="3" t="s">
        <v>645</v>
      </c>
      <c r="H323" s="3">
        <v>151.30000000000001</v>
      </c>
      <c r="I323" s="3" t="s">
        <v>346</v>
      </c>
      <c r="J323" s="3" t="str">
        <f t="shared" si="4"/>
        <v>Feb</v>
      </c>
      <c r="K323"/>
      <c r="L323"/>
      <c r="M323" s="6"/>
      <c r="N323" s="6"/>
      <c r="O323" s="6"/>
      <c r="P323" s="3"/>
      <c r="Q323" s="3"/>
      <c r="R323" s="3"/>
      <c r="S323" s="3"/>
    </row>
    <row r="324" spans="2:19" s="2" customFormat="1" hidden="1" x14ac:dyDescent="0.25">
      <c r="B324">
        <v>10901</v>
      </c>
      <c r="C324" t="s">
        <v>134</v>
      </c>
      <c r="D324" s="6">
        <v>43154</v>
      </c>
      <c r="E324" s="6">
        <v>43182</v>
      </c>
      <c r="F324" s="6">
        <v>43157</v>
      </c>
      <c r="G324" s="3" t="s">
        <v>644</v>
      </c>
      <c r="H324" s="3">
        <v>310.45000000000005</v>
      </c>
      <c r="I324" s="3" t="s">
        <v>346</v>
      </c>
      <c r="J324" s="3" t="str">
        <f t="shared" si="4"/>
        <v>Feb</v>
      </c>
      <c r="K324"/>
      <c r="L324"/>
      <c r="M324" s="6"/>
      <c r="N324" s="6"/>
      <c r="O324" s="6"/>
      <c r="P324" s="3"/>
      <c r="Q324" s="3"/>
      <c r="R324" s="3"/>
      <c r="S324" s="3"/>
    </row>
    <row r="325" spans="2:19" s="2" customFormat="1" hidden="1" x14ac:dyDescent="0.25">
      <c r="B325">
        <v>10957</v>
      </c>
      <c r="C325" t="s">
        <v>134</v>
      </c>
      <c r="D325" s="6">
        <v>43177</v>
      </c>
      <c r="E325" s="6">
        <v>43205</v>
      </c>
      <c r="F325" s="6">
        <v>43186</v>
      </c>
      <c r="G325" s="3" t="s">
        <v>646</v>
      </c>
      <c r="H325" s="3">
        <v>526.79999999999995</v>
      </c>
      <c r="I325" s="3" t="s">
        <v>346</v>
      </c>
      <c r="J325" s="3" t="str">
        <f t="shared" si="4"/>
        <v>Mar</v>
      </c>
      <c r="K325"/>
      <c r="L325"/>
      <c r="M325" s="6"/>
      <c r="N325" s="6"/>
      <c r="O325" s="6"/>
      <c r="P325" s="3"/>
      <c r="Q325" s="3"/>
      <c r="R325" s="3"/>
      <c r="S325" s="3"/>
    </row>
    <row r="326" spans="2:19" s="2" customFormat="1" hidden="1" x14ac:dyDescent="0.25">
      <c r="B326">
        <v>10960</v>
      </c>
      <c r="C326" t="s">
        <v>134</v>
      </c>
      <c r="D326" s="6">
        <v>43178</v>
      </c>
      <c r="E326" s="6">
        <v>43192</v>
      </c>
      <c r="F326" s="6">
        <v>43198</v>
      </c>
      <c r="G326" s="3" t="s">
        <v>644</v>
      </c>
      <c r="H326" s="3">
        <v>10.4</v>
      </c>
      <c r="I326" s="3" t="s">
        <v>346</v>
      </c>
      <c r="J326" s="3" t="str">
        <f t="shared" si="4"/>
        <v>Mar</v>
      </c>
      <c r="K326"/>
      <c r="L326"/>
      <c r="M326" s="6"/>
      <c r="N326" s="6"/>
      <c r="O326" s="6"/>
      <c r="P326" s="3"/>
      <c r="Q326" s="3"/>
      <c r="R326" s="3"/>
      <c r="S326" s="3"/>
    </row>
    <row r="327" spans="2:19" s="2" customFormat="1" hidden="1" x14ac:dyDescent="0.25">
      <c r="B327">
        <v>10976</v>
      </c>
      <c r="C327" t="s">
        <v>134</v>
      </c>
      <c r="D327" s="6">
        <v>43184</v>
      </c>
      <c r="E327" s="6">
        <v>43226</v>
      </c>
      <c r="F327" s="6">
        <v>43193</v>
      </c>
      <c r="G327" s="3" t="s">
        <v>644</v>
      </c>
      <c r="H327" s="3">
        <v>189.85</v>
      </c>
      <c r="I327" s="3" t="s">
        <v>346</v>
      </c>
      <c r="J327" s="3" t="str">
        <f t="shared" si="4"/>
        <v>Mar</v>
      </c>
      <c r="K327"/>
      <c r="L327"/>
      <c r="M327" s="6"/>
      <c r="N327" s="6"/>
      <c r="O327" s="6"/>
      <c r="P327" s="3"/>
      <c r="Q327" s="3"/>
      <c r="R327" s="3"/>
      <c r="S327" s="3"/>
    </row>
    <row r="328" spans="2:19" s="2" customFormat="1" hidden="1" x14ac:dyDescent="0.25">
      <c r="B328">
        <v>11055</v>
      </c>
      <c r="C328" t="s">
        <v>134</v>
      </c>
      <c r="D328" s="6">
        <v>43218</v>
      </c>
      <c r="E328" s="6">
        <v>43246</v>
      </c>
      <c r="F328" s="6">
        <v>43225</v>
      </c>
      <c r="G328" s="3" t="s">
        <v>645</v>
      </c>
      <c r="H328" s="3">
        <v>604.6</v>
      </c>
      <c r="I328" s="3" t="s">
        <v>346</v>
      </c>
      <c r="J328" s="3" t="str">
        <f t="shared" si="4"/>
        <v>Apr</v>
      </c>
      <c r="K328"/>
      <c r="L328"/>
      <c r="M328" s="6"/>
      <c r="N328" s="6"/>
      <c r="O328" s="6"/>
      <c r="P328" s="3"/>
      <c r="Q328" s="3"/>
      <c r="R328" s="3"/>
      <c r="S328" s="3"/>
    </row>
    <row r="329" spans="2:19" s="2" customFormat="1" hidden="1" x14ac:dyDescent="0.25">
      <c r="B329">
        <v>10375</v>
      </c>
      <c r="C329" t="s">
        <v>137</v>
      </c>
      <c r="D329" s="6">
        <v>42710</v>
      </c>
      <c r="E329" s="6">
        <v>42738</v>
      </c>
      <c r="F329" s="6">
        <v>42713</v>
      </c>
      <c r="G329" s="3" t="s">
        <v>645</v>
      </c>
      <c r="H329" s="3">
        <v>100.60000000000001</v>
      </c>
      <c r="I329" s="3" t="s">
        <v>347</v>
      </c>
      <c r="J329" s="3" t="str">
        <f t="shared" si="4"/>
        <v>Dec</v>
      </c>
      <c r="K329"/>
      <c r="L329"/>
      <c r="M329" s="6"/>
      <c r="N329" s="6"/>
      <c r="O329" s="6"/>
      <c r="P329" s="3"/>
      <c r="Q329" s="3"/>
      <c r="R329" s="3"/>
      <c r="S329" s="3"/>
    </row>
    <row r="330" spans="2:19" s="2" customFormat="1" hidden="1" x14ac:dyDescent="0.25">
      <c r="B330">
        <v>10394</v>
      </c>
      <c r="C330" t="s">
        <v>137</v>
      </c>
      <c r="D330" s="6">
        <v>42729</v>
      </c>
      <c r="E330" s="6">
        <v>42757</v>
      </c>
      <c r="F330" s="6">
        <v>42738</v>
      </c>
      <c r="G330" s="3" t="s">
        <v>646</v>
      </c>
      <c r="H330" s="3">
        <v>151.69999999999999</v>
      </c>
      <c r="I330" s="3" t="s">
        <v>347</v>
      </c>
      <c r="J330" s="3" t="str">
        <f t="shared" si="4"/>
        <v>Dec</v>
      </c>
      <c r="K330"/>
      <c r="L330"/>
      <c r="M330" s="6"/>
      <c r="N330" s="6"/>
      <c r="O330" s="6"/>
      <c r="P330" s="3"/>
      <c r="Q330" s="3"/>
      <c r="R330" s="3"/>
      <c r="S330" s="3"/>
    </row>
    <row r="331" spans="2:19" s="2" customFormat="1" hidden="1" x14ac:dyDescent="0.25">
      <c r="B331">
        <v>10415</v>
      </c>
      <c r="C331" t="s">
        <v>137</v>
      </c>
      <c r="D331" s="6">
        <v>42750</v>
      </c>
      <c r="E331" s="6">
        <v>42778</v>
      </c>
      <c r="F331" s="6">
        <v>42759</v>
      </c>
      <c r="G331" s="3" t="s">
        <v>644</v>
      </c>
      <c r="H331" s="3">
        <v>1</v>
      </c>
      <c r="I331" s="3" t="s">
        <v>347</v>
      </c>
      <c r="J331" s="3" t="str">
        <f t="shared" si="4"/>
        <v>Jan</v>
      </c>
      <c r="K331"/>
      <c r="L331"/>
      <c r="M331" s="6"/>
      <c r="N331" s="6"/>
      <c r="O331" s="6"/>
      <c r="P331" s="3"/>
      <c r="Q331" s="3"/>
      <c r="R331" s="3"/>
      <c r="S331" s="3"/>
    </row>
    <row r="332" spans="2:19" s="2" customFormat="1" hidden="1" x14ac:dyDescent="0.25">
      <c r="B332">
        <v>10600</v>
      </c>
      <c r="C332" t="s">
        <v>137</v>
      </c>
      <c r="D332" s="6">
        <v>42932</v>
      </c>
      <c r="E332" s="6">
        <v>42960</v>
      </c>
      <c r="F332" s="6">
        <v>42937</v>
      </c>
      <c r="G332" s="3" t="s">
        <v>644</v>
      </c>
      <c r="H332" s="3">
        <v>225.65</v>
      </c>
      <c r="I332" s="3" t="s">
        <v>347</v>
      </c>
      <c r="J332" s="3" t="str">
        <f t="shared" si="4"/>
        <v>Jul</v>
      </c>
      <c r="K332"/>
      <c r="L332"/>
      <c r="M332" s="6"/>
      <c r="N332" s="6"/>
      <c r="O332" s="6"/>
      <c r="P332" s="3"/>
      <c r="Q332" s="3"/>
      <c r="R332" s="3"/>
      <c r="S332" s="3"/>
    </row>
    <row r="333" spans="2:19" s="2" customFormat="1" hidden="1" x14ac:dyDescent="0.25">
      <c r="B333">
        <v>10660</v>
      </c>
      <c r="C333" t="s">
        <v>137</v>
      </c>
      <c r="D333" s="6">
        <v>42986</v>
      </c>
      <c r="E333" s="6">
        <v>43014</v>
      </c>
      <c r="F333" s="6">
        <v>43023</v>
      </c>
      <c r="G333" s="3" t="s">
        <v>644</v>
      </c>
      <c r="H333" s="3">
        <v>556.45000000000005</v>
      </c>
      <c r="I333" s="3" t="s">
        <v>347</v>
      </c>
      <c r="J333" s="3" t="str">
        <f t="shared" si="4"/>
        <v>Sep</v>
      </c>
      <c r="K333"/>
      <c r="L333"/>
      <c r="M333" s="6"/>
      <c r="N333" s="6"/>
      <c r="O333" s="6"/>
      <c r="P333" s="3"/>
      <c r="Q333" s="3"/>
      <c r="R333" s="3"/>
      <c r="S333" s="3"/>
    </row>
    <row r="334" spans="2:19" s="2" customFormat="1" hidden="1" x14ac:dyDescent="0.25">
      <c r="B334">
        <v>10298</v>
      </c>
      <c r="C334" t="s">
        <v>140</v>
      </c>
      <c r="D334" s="6">
        <v>42618</v>
      </c>
      <c r="E334" s="6">
        <v>42646</v>
      </c>
      <c r="F334" s="6">
        <v>42624</v>
      </c>
      <c r="G334" s="3" t="s">
        <v>645</v>
      </c>
      <c r="H334" s="3">
        <v>841.1</v>
      </c>
      <c r="I334" s="3" t="s">
        <v>348</v>
      </c>
      <c r="J334" s="3" t="str">
        <f t="shared" si="4"/>
        <v>Sep</v>
      </c>
      <c r="K334"/>
      <c r="L334"/>
      <c r="M334" s="6"/>
      <c r="N334" s="6"/>
      <c r="O334" s="6"/>
      <c r="P334" s="3"/>
      <c r="Q334" s="3"/>
      <c r="R334" s="3"/>
      <c r="S334" s="3"/>
    </row>
    <row r="335" spans="2:19" s="2" customFormat="1" hidden="1" x14ac:dyDescent="0.25">
      <c r="B335">
        <v>10309</v>
      </c>
      <c r="C335" t="s">
        <v>140</v>
      </c>
      <c r="D335" s="6">
        <v>42632</v>
      </c>
      <c r="E335" s="6">
        <v>42660</v>
      </c>
      <c r="F335" s="6">
        <v>42666</v>
      </c>
      <c r="G335" s="3" t="s">
        <v>644</v>
      </c>
      <c r="H335" s="3">
        <v>236.5</v>
      </c>
      <c r="I335" s="3" t="s">
        <v>348</v>
      </c>
      <c r="J335" s="3" t="str">
        <f t="shared" si="4"/>
        <v>Sep</v>
      </c>
      <c r="K335"/>
      <c r="L335"/>
      <c r="M335" s="6"/>
      <c r="N335" s="6"/>
      <c r="O335" s="6"/>
      <c r="P335" s="3"/>
      <c r="Q335" s="3"/>
      <c r="R335" s="3"/>
      <c r="S335" s="3"/>
    </row>
    <row r="336" spans="2:19" s="2" customFormat="1" hidden="1" x14ac:dyDescent="0.25">
      <c r="B336">
        <v>10335</v>
      </c>
      <c r="C336" t="s">
        <v>140</v>
      </c>
      <c r="D336" s="6">
        <v>42665</v>
      </c>
      <c r="E336" s="6">
        <v>42693</v>
      </c>
      <c r="F336" s="6">
        <v>42667</v>
      </c>
      <c r="G336" s="3" t="s">
        <v>645</v>
      </c>
      <c r="H336" s="3">
        <v>210.55</v>
      </c>
      <c r="I336" s="3" t="s">
        <v>348</v>
      </c>
      <c r="J336" s="3" t="str">
        <f t="shared" si="4"/>
        <v>Oct</v>
      </c>
      <c r="K336"/>
      <c r="L336"/>
      <c r="M336" s="6"/>
      <c r="N336" s="6"/>
      <c r="O336" s="6"/>
      <c r="P336" s="3"/>
      <c r="Q336" s="3"/>
      <c r="R336" s="3"/>
      <c r="S336" s="3"/>
    </row>
    <row r="337" spans="2:19" s="2" customFormat="1" hidden="1" x14ac:dyDescent="0.25">
      <c r="B337">
        <v>10373</v>
      </c>
      <c r="C337" t="s">
        <v>140</v>
      </c>
      <c r="D337" s="6">
        <v>42709</v>
      </c>
      <c r="E337" s="6">
        <v>42737</v>
      </c>
      <c r="F337" s="6">
        <v>42715</v>
      </c>
      <c r="G337" s="3" t="s">
        <v>646</v>
      </c>
      <c r="H337" s="3">
        <v>620.6</v>
      </c>
      <c r="I337" s="3" t="s">
        <v>348</v>
      </c>
      <c r="J337" s="3" t="str">
        <f t="shared" ref="J337:J400" si="5">TEXT(D337,"mmm")</f>
        <v>Dec</v>
      </c>
      <c r="K337"/>
      <c r="L337"/>
      <c r="M337" s="6"/>
      <c r="N337" s="6"/>
      <c r="O337" s="6"/>
      <c r="P337" s="3"/>
      <c r="Q337" s="3"/>
      <c r="R337" s="3"/>
      <c r="S337" s="3"/>
    </row>
    <row r="338" spans="2:19" s="2" customFormat="1" hidden="1" x14ac:dyDescent="0.25">
      <c r="B338">
        <v>10380</v>
      </c>
      <c r="C338" t="s">
        <v>140</v>
      </c>
      <c r="D338" s="6">
        <v>42716</v>
      </c>
      <c r="E338" s="6">
        <v>42744</v>
      </c>
      <c r="F338" s="6">
        <v>42751</v>
      </c>
      <c r="G338" s="3" t="s">
        <v>646</v>
      </c>
      <c r="H338" s="3">
        <v>175.15</v>
      </c>
      <c r="I338" s="3" t="s">
        <v>348</v>
      </c>
      <c r="J338" s="3" t="str">
        <f t="shared" si="5"/>
        <v>Dec</v>
      </c>
      <c r="K338"/>
      <c r="L338"/>
      <c r="M338" s="6"/>
      <c r="N338" s="6"/>
      <c r="O338" s="6"/>
      <c r="P338" s="3"/>
      <c r="Q338" s="3"/>
      <c r="R338" s="3"/>
      <c r="S338" s="3"/>
    </row>
    <row r="339" spans="2:19" s="2" customFormat="1" hidden="1" x14ac:dyDescent="0.25">
      <c r="B339">
        <v>10429</v>
      </c>
      <c r="C339" t="s">
        <v>140</v>
      </c>
      <c r="D339" s="6">
        <v>42764</v>
      </c>
      <c r="E339" s="6">
        <v>42806</v>
      </c>
      <c r="F339" s="6">
        <v>42773</v>
      </c>
      <c r="G339" s="3" t="s">
        <v>645</v>
      </c>
      <c r="H339" s="3">
        <v>283.15000000000003</v>
      </c>
      <c r="I339" s="3" t="s">
        <v>348</v>
      </c>
      <c r="J339" s="3" t="str">
        <f t="shared" si="5"/>
        <v>Jan</v>
      </c>
      <c r="K339"/>
      <c r="L339"/>
      <c r="M339" s="6"/>
      <c r="N339" s="6"/>
      <c r="O339" s="6"/>
      <c r="P339" s="3"/>
      <c r="Q339" s="3"/>
      <c r="R339" s="3"/>
      <c r="S339" s="3"/>
    </row>
    <row r="340" spans="2:19" s="2" customFormat="1" hidden="1" x14ac:dyDescent="0.25">
      <c r="B340">
        <v>10503</v>
      </c>
      <c r="C340" t="s">
        <v>140</v>
      </c>
      <c r="D340" s="6">
        <v>42836</v>
      </c>
      <c r="E340" s="6">
        <v>42864</v>
      </c>
      <c r="F340" s="6">
        <v>42841</v>
      </c>
      <c r="G340" s="3" t="s">
        <v>645</v>
      </c>
      <c r="H340" s="3">
        <v>83.699999999999989</v>
      </c>
      <c r="I340" s="3" t="s">
        <v>348</v>
      </c>
      <c r="J340" s="3" t="str">
        <f t="shared" si="5"/>
        <v>Apr</v>
      </c>
      <c r="K340"/>
      <c r="L340"/>
      <c r="M340" s="6"/>
      <c r="N340" s="6"/>
      <c r="O340" s="6"/>
      <c r="P340" s="3"/>
      <c r="Q340" s="3"/>
      <c r="R340" s="3"/>
      <c r="S340" s="3"/>
    </row>
    <row r="341" spans="2:19" s="2" customFormat="1" hidden="1" x14ac:dyDescent="0.25">
      <c r="B341">
        <v>10516</v>
      </c>
      <c r="C341" t="s">
        <v>140</v>
      </c>
      <c r="D341" s="6">
        <v>42849</v>
      </c>
      <c r="E341" s="6">
        <v>42877</v>
      </c>
      <c r="F341" s="6">
        <v>42856</v>
      </c>
      <c r="G341" s="3" t="s">
        <v>646</v>
      </c>
      <c r="H341" s="3">
        <v>313.89999999999998</v>
      </c>
      <c r="I341" s="3" t="s">
        <v>348</v>
      </c>
      <c r="J341" s="3" t="str">
        <f t="shared" si="5"/>
        <v>Apr</v>
      </c>
      <c r="K341"/>
      <c r="L341"/>
      <c r="M341" s="6"/>
      <c r="N341" s="6"/>
      <c r="O341" s="6"/>
      <c r="P341" s="3"/>
      <c r="Q341" s="3"/>
      <c r="R341" s="3"/>
      <c r="S341" s="3"/>
    </row>
    <row r="342" spans="2:19" s="2" customFormat="1" hidden="1" x14ac:dyDescent="0.25">
      <c r="B342">
        <v>10567</v>
      </c>
      <c r="C342" t="s">
        <v>140</v>
      </c>
      <c r="D342" s="6">
        <v>42898</v>
      </c>
      <c r="E342" s="6">
        <v>42926</v>
      </c>
      <c r="F342" s="6">
        <v>42903</v>
      </c>
      <c r="G342" s="3" t="s">
        <v>644</v>
      </c>
      <c r="H342" s="3">
        <v>169.85</v>
      </c>
      <c r="I342" s="3" t="s">
        <v>348</v>
      </c>
      <c r="J342" s="3" t="str">
        <f t="shared" si="5"/>
        <v>Jun</v>
      </c>
      <c r="K342"/>
      <c r="L342"/>
      <c r="M342" s="6"/>
      <c r="N342" s="6"/>
      <c r="O342" s="6"/>
      <c r="P342" s="3"/>
      <c r="Q342" s="3"/>
      <c r="R342" s="3"/>
      <c r="S342" s="3"/>
    </row>
    <row r="343" spans="2:19" s="2" customFormat="1" hidden="1" x14ac:dyDescent="0.25">
      <c r="B343">
        <v>10646</v>
      </c>
      <c r="C343" t="s">
        <v>140</v>
      </c>
      <c r="D343" s="6">
        <v>42974</v>
      </c>
      <c r="E343" s="6">
        <v>43016</v>
      </c>
      <c r="F343" s="6">
        <v>42981</v>
      </c>
      <c r="G343" s="3" t="s">
        <v>646</v>
      </c>
      <c r="H343" s="3">
        <v>711.65000000000009</v>
      </c>
      <c r="I343" s="3" t="s">
        <v>348</v>
      </c>
      <c r="J343" s="3" t="str">
        <f t="shared" si="5"/>
        <v>Aug</v>
      </c>
      <c r="K343"/>
      <c r="L343"/>
      <c r="M343" s="6"/>
      <c r="N343" s="6"/>
      <c r="O343" s="6"/>
      <c r="P343" s="3"/>
      <c r="Q343" s="3"/>
      <c r="R343" s="3"/>
      <c r="S343" s="3"/>
    </row>
    <row r="344" spans="2:19" s="2" customFormat="1" hidden="1" x14ac:dyDescent="0.25">
      <c r="B344">
        <v>10661</v>
      </c>
      <c r="C344" t="s">
        <v>140</v>
      </c>
      <c r="D344" s="6">
        <v>42987</v>
      </c>
      <c r="E344" s="6">
        <v>43015</v>
      </c>
      <c r="F344" s="6">
        <v>42993</v>
      </c>
      <c r="G344" s="3" t="s">
        <v>646</v>
      </c>
      <c r="H344" s="3">
        <v>87.75</v>
      </c>
      <c r="I344" s="3" t="s">
        <v>348</v>
      </c>
      <c r="J344" s="3" t="str">
        <f t="shared" si="5"/>
        <v>Sep</v>
      </c>
      <c r="K344"/>
      <c r="L344"/>
      <c r="M344" s="6"/>
      <c r="N344" s="6"/>
      <c r="O344" s="6"/>
      <c r="P344" s="3"/>
      <c r="Q344" s="3"/>
      <c r="R344" s="3"/>
      <c r="S344" s="3"/>
    </row>
    <row r="345" spans="2:19" s="2" customFormat="1" hidden="1" x14ac:dyDescent="0.25">
      <c r="B345">
        <v>10687</v>
      </c>
      <c r="C345" t="s">
        <v>140</v>
      </c>
      <c r="D345" s="6">
        <v>43008</v>
      </c>
      <c r="E345" s="6">
        <v>43036</v>
      </c>
      <c r="F345" s="6">
        <v>43038</v>
      </c>
      <c r="G345" s="3" t="s">
        <v>645</v>
      </c>
      <c r="H345" s="3">
        <v>1482.15</v>
      </c>
      <c r="I345" s="3" t="s">
        <v>348</v>
      </c>
      <c r="J345" s="3" t="str">
        <f t="shared" si="5"/>
        <v>Sep</v>
      </c>
      <c r="K345"/>
      <c r="L345"/>
      <c r="M345" s="6"/>
      <c r="N345" s="6"/>
      <c r="O345" s="6"/>
      <c r="P345" s="3"/>
      <c r="Q345" s="3"/>
      <c r="R345" s="3"/>
      <c r="S345" s="3"/>
    </row>
    <row r="346" spans="2:19" s="2" customFormat="1" hidden="1" x14ac:dyDescent="0.25">
      <c r="B346">
        <v>10701</v>
      </c>
      <c r="C346" t="s">
        <v>140</v>
      </c>
      <c r="D346" s="6">
        <v>43021</v>
      </c>
      <c r="E346" s="6">
        <v>43035</v>
      </c>
      <c r="F346" s="6">
        <v>43023</v>
      </c>
      <c r="G346" s="3" t="s">
        <v>646</v>
      </c>
      <c r="H346" s="3">
        <v>1101.55</v>
      </c>
      <c r="I346" s="3" t="s">
        <v>348</v>
      </c>
      <c r="J346" s="3" t="str">
        <f t="shared" si="5"/>
        <v>Oct</v>
      </c>
      <c r="K346"/>
      <c r="L346"/>
      <c r="M346" s="6"/>
      <c r="N346" s="6"/>
      <c r="O346" s="6"/>
      <c r="P346" s="3"/>
      <c r="Q346" s="3"/>
      <c r="R346" s="3"/>
      <c r="S346" s="3"/>
    </row>
    <row r="347" spans="2:19" s="2" customFormat="1" hidden="1" x14ac:dyDescent="0.25">
      <c r="B347">
        <v>10712</v>
      </c>
      <c r="C347" t="s">
        <v>140</v>
      </c>
      <c r="D347" s="6">
        <v>43029</v>
      </c>
      <c r="E347" s="6">
        <v>43057</v>
      </c>
      <c r="F347" s="6">
        <v>43039</v>
      </c>
      <c r="G347" s="3" t="s">
        <v>644</v>
      </c>
      <c r="H347" s="3">
        <v>449.65000000000003</v>
      </c>
      <c r="I347" s="3" t="s">
        <v>348</v>
      </c>
      <c r="J347" s="3" t="str">
        <f t="shared" si="5"/>
        <v>Oct</v>
      </c>
      <c r="K347"/>
      <c r="L347"/>
      <c r="M347" s="6"/>
      <c r="N347" s="6"/>
      <c r="O347" s="6"/>
      <c r="P347" s="3"/>
      <c r="Q347" s="3"/>
      <c r="R347" s="3"/>
      <c r="S347" s="3"/>
    </row>
    <row r="348" spans="2:19" s="2" customFormat="1" hidden="1" x14ac:dyDescent="0.25">
      <c r="B348">
        <v>10736</v>
      </c>
      <c r="C348" t="s">
        <v>140</v>
      </c>
      <c r="D348" s="6">
        <v>43050</v>
      </c>
      <c r="E348" s="6">
        <v>43078</v>
      </c>
      <c r="F348" s="6">
        <v>43060</v>
      </c>
      <c r="G348" s="3" t="s">
        <v>645</v>
      </c>
      <c r="H348" s="3">
        <v>220.5</v>
      </c>
      <c r="I348" s="3" t="s">
        <v>348</v>
      </c>
      <c r="J348" s="3" t="str">
        <f t="shared" si="5"/>
        <v>Nov</v>
      </c>
      <c r="K348"/>
      <c r="L348"/>
      <c r="M348" s="6"/>
      <c r="N348" s="6"/>
      <c r="O348" s="6"/>
      <c r="P348" s="3"/>
      <c r="Q348" s="3"/>
      <c r="R348" s="3"/>
      <c r="S348" s="3"/>
    </row>
    <row r="349" spans="2:19" s="2" customFormat="1" hidden="1" x14ac:dyDescent="0.25">
      <c r="B349">
        <v>10897</v>
      </c>
      <c r="C349" t="s">
        <v>140</v>
      </c>
      <c r="D349" s="6">
        <v>43150</v>
      </c>
      <c r="E349" s="6">
        <v>43178</v>
      </c>
      <c r="F349" s="6">
        <v>43156</v>
      </c>
      <c r="G349" s="3" t="s">
        <v>645</v>
      </c>
      <c r="H349" s="3">
        <v>3017.7</v>
      </c>
      <c r="I349" s="3" t="s">
        <v>348</v>
      </c>
      <c r="J349" s="3" t="str">
        <f t="shared" si="5"/>
        <v>Feb</v>
      </c>
      <c r="K349"/>
      <c r="L349"/>
      <c r="M349" s="6"/>
      <c r="N349" s="6"/>
      <c r="O349" s="6"/>
      <c r="P349" s="3"/>
      <c r="Q349" s="3"/>
      <c r="R349" s="3"/>
      <c r="S349" s="3"/>
    </row>
    <row r="350" spans="2:19" s="2" customFormat="1" hidden="1" x14ac:dyDescent="0.25">
      <c r="B350">
        <v>10912</v>
      </c>
      <c r="C350" t="s">
        <v>140</v>
      </c>
      <c r="D350" s="6">
        <v>43157</v>
      </c>
      <c r="E350" s="6">
        <v>43185</v>
      </c>
      <c r="F350" s="6">
        <v>43177</v>
      </c>
      <c r="G350" s="3" t="s">
        <v>645</v>
      </c>
      <c r="H350" s="3">
        <v>2904.5499999999997</v>
      </c>
      <c r="I350" s="3" t="s">
        <v>348</v>
      </c>
      <c r="J350" s="3" t="str">
        <f t="shared" si="5"/>
        <v>Feb</v>
      </c>
      <c r="K350"/>
      <c r="L350"/>
      <c r="M350" s="6"/>
      <c r="N350" s="6"/>
      <c r="O350" s="6"/>
      <c r="P350" s="3"/>
      <c r="Q350" s="3"/>
      <c r="R350" s="3"/>
      <c r="S350" s="3"/>
    </row>
    <row r="351" spans="2:19" s="2" customFormat="1" hidden="1" x14ac:dyDescent="0.25">
      <c r="B351">
        <v>10985</v>
      </c>
      <c r="C351" t="s">
        <v>140</v>
      </c>
      <c r="D351" s="6">
        <v>43189</v>
      </c>
      <c r="E351" s="6">
        <v>43217</v>
      </c>
      <c r="F351" s="6">
        <v>43192</v>
      </c>
      <c r="G351" s="3" t="s">
        <v>644</v>
      </c>
      <c r="H351" s="3">
        <v>457.55</v>
      </c>
      <c r="I351" s="3" t="s">
        <v>348</v>
      </c>
      <c r="J351" s="3" t="str">
        <f t="shared" si="5"/>
        <v>Mar</v>
      </c>
      <c r="K351"/>
      <c r="L351"/>
      <c r="M351" s="6"/>
      <c r="N351" s="6"/>
      <c r="O351" s="6"/>
      <c r="P351" s="3"/>
      <c r="Q351" s="3"/>
      <c r="R351" s="3"/>
      <c r="S351" s="3"/>
    </row>
    <row r="352" spans="2:19" s="2" customFormat="1" hidden="1" x14ac:dyDescent="0.25">
      <c r="B352">
        <v>11063</v>
      </c>
      <c r="C352" t="s">
        <v>140</v>
      </c>
      <c r="D352" s="6">
        <v>43220</v>
      </c>
      <c r="E352" s="6">
        <v>43248</v>
      </c>
      <c r="F352" s="6">
        <v>43226</v>
      </c>
      <c r="G352" s="3" t="s">
        <v>645</v>
      </c>
      <c r="H352" s="3">
        <v>408.65000000000003</v>
      </c>
      <c r="I352" s="3" t="s">
        <v>348</v>
      </c>
      <c r="J352" s="3" t="str">
        <f t="shared" si="5"/>
        <v>Apr</v>
      </c>
      <c r="K352"/>
      <c r="L352"/>
      <c r="M352" s="6"/>
      <c r="N352" s="6"/>
      <c r="O352" s="6"/>
      <c r="P352" s="3"/>
      <c r="Q352" s="3"/>
      <c r="R352" s="3"/>
      <c r="S352" s="3"/>
    </row>
    <row r="353" spans="2:19" s="2" customFormat="1" hidden="1" x14ac:dyDescent="0.25">
      <c r="B353">
        <v>10315</v>
      </c>
      <c r="C353" t="s">
        <v>143</v>
      </c>
      <c r="D353" s="6">
        <v>42639</v>
      </c>
      <c r="E353" s="6">
        <v>42667</v>
      </c>
      <c r="F353" s="6">
        <v>42646</v>
      </c>
      <c r="G353" s="3" t="s">
        <v>645</v>
      </c>
      <c r="H353" s="3">
        <v>208.79999999999998</v>
      </c>
      <c r="I353" s="3" t="s">
        <v>14</v>
      </c>
      <c r="J353" s="3" t="str">
        <f t="shared" si="5"/>
        <v>Sep</v>
      </c>
      <c r="K353"/>
      <c r="L353"/>
      <c r="M353" s="6"/>
      <c r="N353" s="6"/>
      <c r="O353" s="6"/>
      <c r="P353" s="3"/>
      <c r="Q353" s="3"/>
      <c r="R353" s="3"/>
      <c r="S353" s="3"/>
    </row>
    <row r="354" spans="2:19" s="2" customFormat="1" hidden="1" x14ac:dyDescent="0.25">
      <c r="B354">
        <v>10318</v>
      </c>
      <c r="C354" t="s">
        <v>143</v>
      </c>
      <c r="D354" s="6">
        <v>42644</v>
      </c>
      <c r="E354" s="6">
        <v>42672</v>
      </c>
      <c r="F354" s="6">
        <v>42647</v>
      </c>
      <c r="G354" s="3" t="s">
        <v>645</v>
      </c>
      <c r="H354" s="3">
        <v>23.650000000000002</v>
      </c>
      <c r="I354" s="3" t="s">
        <v>14</v>
      </c>
      <c r="J354" s="3" t="str">
        <f t="shared" si="5"/>
        <v>Oct</v>
      </c>
      <c r="K354"/>
      <c r="L354"/>
      <c r="M354" s="6"/>
      <c r="N354" s="6"/>
      <c r="O354" s="6"/>
      <c r="P354" s="3"/>
      <c r="Q354" s="3"/>
      <c r="R354" s="3"/>
      <c r="S354" s="3"/>
    </row>
    <row r="355" spans="2:19" s="2" customFormat="1" hidden="1" x14ac:dyDescent="0.25">
      <c r="B355">
        <v>10321</v>
      </c>
      <c r="C355" t="s">
        <v>143</v>
      </c>
      <c r="D355" s="6">
        <v>42646</v>
      </c>
      <c r="E355" s="6">
        <v>42674</v>
      </c>
      <c r="F355" s="6">
        <v>42654</v>
      </c>
      <c r="G355" s="3" t="s">
        <v>645</v>
      </c>
      <c r="H355" s="3">
        <v>17.150000000000002</v>
      </c>
      <c r="I355" s="3" t="s">
        <v>14</v>
      </c>
      <c r="J355" s="3" t="str">
        <f t="shared" si="5"/>
        <v>Oct</v>
      </c>
      <c r="K355"/>
      <c r="L355"/>
      <c r="M355" s="6"/>
      <c r="N355" s="6"/>
      <c r="O355" s="6"/>
      <c r="P355" s="3"/>
      <c r="Q355" s="3"/>
      <c r="R355" s="3"/>
      <c r="S355" s="3"/>
    </row>
    <row r="356" spans="2:19" s="2" customFormat="1" hidden="1" x14ac:dyDescent="0.25">
      <c r="B356">
        <v>10473</v>
      </c>
      <c r="C356" t="s">
        <v>143</v>
      </c>
      <c r="D356" s="6">
        <v>42807</v>
      </c>
      <c r="E356" s="6">
        <v>42821</v>
      </c>
      <c r="F356" s="6">
        <v>42815</v>
      </c>
      <c r="G356" s="3" t="s">
        <v>646</v>
      </c>
      <c r="H356" s="3">
        <v>81.850000000000009</v>
      </c>
      <c r="I356" s="3" t="s">
        <v>14</v>
      </c>
      <c r="J356" s="3" t="str">
        <f t="shared" si="5"/>
        <v>Mar</v>
      </c>
      <c r="K356"/>
      <c r="L356"/>
      <c r="M356" s="6"/>
      <c r="N356" s="6"/>
      <c r="O356" s="6"/>
      <c r="P356" s="3"/>
      <c r="Q356" s="3"/>
      <c r="R356" s="3"/>
      <c r="S356" s="3"/>
    </row>
    <row r="357" spans="2:19" s="2" customFormat="1" hidden="1" x14ac:dyDescent="0.25">
      <c r="B357">
        <v>10621</v>
      </c>
      <c r="C357" t="s">
        <v>143</v>
      </c>
      <c r="D357" s="6">
        <v>42952</v>
      </c>
      <c r="E357" s="6">
        <v>42980</v>
      </c>
      <c r="F357" s="6">
        <v>42958</v>
      </c>
      <c r="G357" s="3" t="s">
        <v>645</v>
      </c>
      <c r="H357" s="3">
        <v>118.65</v>
      </c>
      <c r="I357" s="3" t="s">
        <v>14</v>
      </c>
      <c r="J357" s="3" t="str">
        <f t="shared" si="5"/>
        <v>Aug</v>
      </c>
      <c r="K357"/>
      <c r="L357"/>
      <c r="M357" s="6"/>
      <c r="N357" s="6"/>
      <c r="O357" s="6"/>
      <c r="P357" s="3"/>
      <c r="Q357" s="3"/>
      <c r="R357" s="3"/>
      <c r="S357" s="3"/>
    </row>
    <row r="358" spans="2:19" s="2" customFormat="1" hidden="1" x14ac:dyDescent="0.25">
      <c r="B358">
        <v>10674</v>
      </c>
      <c r="C358" t="s">
        <v>143</v>
      </c>
      <c r="D358" s="6">
        <v>42996</v>
      </c>
      <c r="E358" s="6">
        <v>43024</v>
      </c>
      <c r="F358" s="6">
        <v>43008</v>
      </c>
      <c r="G358" s="3" t="s">
        <v>645</v>
      </c>
      <c r="H358" s="3">
        <v>4.5</v>
      </c>
      <c r="I358" s="3" t="s">
        <v>14</v>
      </c>
      <c r="J358" s="3" t="str">
        <f t="shared" si="5"/>
        <v>Sep</v>
      </c>
      <c r="K358"/>
      <c r="L358"/>
      <c r="M358" s="6"/>
      <c r="N358" s="6"/>
      <c r="O358" s="6"/>
      <c r="P358" s="3"/>
      <c r="Q358" s="3"/>
      <c r="R358" s="3"/>
      <c r="S358" s="3"/>
    </row>
    <row r="359" spans="2:19" s="2" customFormat="1" hidden="1" x14ac:dyDescent="0.25">
      <c r="B359">
        <v>10749</v>
      </c>
      <c r="C359" t="s">
        <v>143</v>
      </c>
      <c r="D359" s="6">
        <v>43059</v>
      </c>
      <c r="E359" s="6">
        <v>43087</v>
      </c>
      <c r="F359" s="6">
        <v>43088</v>
      </c>
      <c r="G359" s="3" t="s">
        <v>645</v>
      </c>
      <c r="H359" s="3">
        <v>307.64999999999998</v>
      </c>
      <c r="I359" s="3" t="s">
        <v>14</v>
      </c>
      <c r="J359" s="3" t="str">
        <f t="shared" si="5"/>
        <v>Nov</v>
      </c>
      <c r="K359"/>
      <c r="L359"/>
      <c r="M359" s="6"/>
      <c r="N359" s="6"/>
      <c r="O359" s="6"/>
      <c r="P359" s="3"/>
      <c r="Q359" s="3"/>
      <c r="R359" s="3"/>
      <c r="S359" s="3"/>
    </row>
    <row r="360" spans="2:19" s="2" customFormat="1" hidden="1" x14ac:dyDescent="0.25">
      <c r="B360">
        <v>10798</v>
      </c>
      <c r="C360" t="s">
        <v>143</v>
      </c>
      <c r="D360" s="6">
        <v>43095</v>
      </c>
      <c r="E360" s="6">
        <v>43123</v>
      </c>
      <c r="F360" s="6">
        <v>43105</v>
      </c>
      <c r="G360" s="3" t="s">
        <v>644</v>
      </c>
      <c r="H360" s="3">
        <v>11.65</v>
      </c>
      <c r="I360" s="3" t="s">
        <v>14</v>
      </c>
      <c r="J360" s="3" t="str">
        <f t="shared" si="5"/>
        <v>Dec</v>
      </c>
      <c r="K360"/>
      <c r="L360"/>
      <c r="M360" s="6"/>
      <c r="N360" s="6"/>
      <c r="O360" s="6"/>
      <c r="P360" s="3"/>
      <c r="Q360" s="3"/>
      <c r="R360" s="3"/>
      <c r="S360" s="3"/>
    </row>
    <row r="361" spans="2:19" s="2" customFormat="1" hidden="1" x14ac:dyDescent="0.25">
      <c r="B361">
        <v>10829</v>
      </c>
      <c r="C361" t="s">
        <v>143</v>
      </c>
      <c r="D361" s="6">
        <v>43113</v>
      </c>
      <c r="E361" s="6">
        <v>43141</v>
      </c>
      <c r="F361" s="6">
        <v>43123</v>
      </c>
      <c r="G361" s="3" t="s">
        <v>644</v>
      </c>
      <c r="H361" s="3">
        <v>773.6</v>
      </c>
      <c r="I361" s="3" t="s">
        <v>14</v>
      </c>
      <c r="J361" s="3" t="str">
        <f t="shared" si="5"/>
        <v>Jan</v>
      </c>
      <c r="K361"/>
      <c r="L361"/>
      <c r="M361" s="6"/>
      <c r="N361" s="6"/>
      <c r="O361" s="6"/>
      <c r="P361" s="3"/>
      <c r="Q361" s="3"/>
      <c r="R361" s="3"/>
      <c r="S361" s="3"/>
    </row>
    <row r="362" spans="2:19" s="2" customFormat="1" hidden="1" x14ac:dyDescent="0.25">
      <c r="B362">
        <v>10933</v>
      </c>
      <c r="C362" t="s">
        <v>143</v>
      </c>
      <c r="D362" s="6">
        <v>43165</v>
      </c>
      <c r="E362" s="6">
        <v>43193</v>
      </c>
      <c r="F362" s="6">
        <v>43175</v>
      </c>
      <c r="G362" s="3" t="s">
        <v>646</v>
      </c>
      <c r="H362" s="3">
        <v>270.75</v>
      </c>
      <c r="I362" s="3" t="s">
        <v>14</v>
      </c>
      <c r="J362" s="3" t="str">
        <f t="shared" si="5"/>
        <v>Mar</v>
      </c>
      <c r="K362"/>
      <c r="L362"/>
      <c r="M362" s="6"/>
      <c r="N362" s="6"/>
      <c r="O362" s="6"/>
      <c r="P362" s="3"/>
      <c r="Q362" s="3"/>
      <c r="R362" s="3"/>
      <c r="S362" s="3"/>
    </row>
    <row r="363" spans="2:19" s="2" customFormat="1" hidden="1" x14ac:dyDescent="0.25">
      <c r="B363">
        <v>10323</v>
      </c>
      <c r="C363" t="s">
        <v>145</v>
      </c>
      <c r="D363" s="6">
        <v>42650</v>
      </c>
      <c r="E363" s="6">
        <v>42678</v>
      </c>
      <c r="F363" s="6">
        <v>42657</v>
      </c>
      <c r="G363" s="3" t="s">
        <v>644</v>
      </c>
      <c r="H363" s="3">
        <v>24.4</v>
      </c>
      <c r="I363" s="3" t="s">
        <v>349</v>
      </c>
      <c r="J363" s="3" t="str">
        <f t="shared" si="5"/>
        <v>Oct</v>
      </c>
      <c r="K363"/>
      <c r="L363"/>
      <c r="M363" s="6"/>
      <c r="N363" s="6"/>
      <c r="O363" s="6"/>
      <c r="P363" s="3"/>
      <c r="Q363" s="3"/>
      <c r="R363" s="3"/>
      <c r="S363" s="3"/>
    </row>
    <row r="364" spans="2:19" s="2" customFormat="1" hidden="1" x14ac:dyDescent="0.25">
      <c r="B364">
        <v>10325</v>
      </c>
      <c r="C364" t="s">
        <v>145</v>
      </c>
      <c r="D364" s="6">
        <v>42652</v>
      </c>
      <c r="E364" s="6">
        <v>42666</v>
      </c>
      <c r="F364" s="6">
        <v>42657</v>
      </c>
      <c r="G364" s="3" t="s">
        <v>646</v>
      </c>
      <c r="H364" s="3">
        <v>324.3</v>
      </c>
      <c r="I364" s="3" t="s">
        <v>349</v>
      </c>
      <c r="J364" s="3" t="str">
        <f t="shared" si="5"/>
        <v>Oct</v>
      </c>
      <c r="K364"/>
      <c r="L364"/>
      <c r="M364" s="6"/>
      <c r="N364" s="6"/>
      <c r="O364" s="6"/>
      <c r="P364" s="3"/>
      <c r="Q364" s="3"/>
      <c r="R364" s="3"/>
      <c r="S364" s="3"/>
    </row>
    <row r="365" spans="2:19" s="2" customFormat="1" hidden="1" x14ac:dyDescent="0.25">
      <c r="B365">
        <v>10456</v>
      </c>
      <c r="C365" t="s">
        <v>145</v>
      </c>
      <c r="D365" s="6">
        <v>42791</v>
      </c>
      <c r="E365" s="6">
        <v>42833</v>
      </c>
      <c r="F365" s="6">
        <v>42794</v>
      </c>
      <c r="G365" s="3" t="s">
        <v>645</v>
      </c>
      <c r="H365" s="3">
        <v>40.599999999999994</v>
      </c>
      <c r="I365" s="3" t="s">
        <v>349</v>
      </c>
      <c r="J365" s="3" t="str">
        <f t="shared" si="5"/>
        <v>Feb</v>
      </c>
      <c r="K365"/>
      <c r="L365"/>
      <c r="M365" s="6"/>
      <c r="N365" s="6"/>
      <c r="O365" s="6"/>
      <c r="P365" s="3"/>
      <c r="Q365" s="3"/>
      <c r="R365" s="3"/>
      <c r="S365" s="3"/>
    </row>
    <row r="366" spans="2:19" s="2" customFormat="1" hidden="1" x14ac:dyDescent="0.25">
      <c r="B366">
        <v>10457</v>
      </c>
      <c r="C366" t="s">
        <v>145</v>
      </c>
      <c r="D366" s="6">
        <v>42791</v>
      </c>
      <c r="E366" s="6">
        <v>42819</v>
      </c>
      <c r="F366" s="6">
        <v>42797</v>
      </c>
      <c r="G366" s="3" t="s">
        <v>644</v>
      </c>
      <c r="H366" s="3">
        <v>57.85</v>
      </c>
      <c r="I366" s="3" t="s">
        <v>349</v>
      </c>
      <c r="J366" s="3" t="str">
        <f t="shared" si="5"/>
        <v>Feb</v>
      </c>
      <c r="K366"/>
      <c r="L366"/>
      <c r="M366" s="6"/>
      <c r="N366" s="6"/>
      <c r="O366" s="6"/>
      <c r="P366" s="3"/>
      <c r="Q366" s="3"/>
      <c r="R366" s="3"/>
      <c r="S366" s="3"/>
    </row>
    <row r="367" spans="2:19" s="2" customFormat="1" hidden="1" x14ac:dyDescent="0.25">
      <c r="B367">
        <v>10468</v>
      </c>
      <c r="C367" t="s">
        <v>145</v>
      </c>
      <c r="D367" s="6">
        <v>42801</v>
      </c>
      <c r="E367" s="6">
        <v>42829</v>
      </c>
      <c r="F367" s="6">
        <v>42806</v>
      </c>
      <c r="G367" s="3" t="s">
        <v>646</v>
      </c>
      <c r="H367" s="3">
        <v>220.6</v>
      </c>
      <c r="I367" s="3" t="s">
        <v>349</v>
      </c>
      <c r="J367" s="3" t="str">
        <f t="shared" si="5"/>
        <v>Mar</v>
      </c>
      <c r="K367"/>
      <c r="L367"/>
      <c r="M367" s="6"/>
      <c r="N367" s="6"/>
      <c r="O367" s="6"/>
      <c r="P367" s="3"/>
      <c r="Q367" s="3"/>
      <c r="R367" s="3"/>
      <c r="S367" s="3"/>
    </row>
    <row r="368" spans="2:19" s="2" customFormat="1" hidden="1" x14ac:dyDescent="0.25">
      <c r="B368">
        <v>10506</v>
      </c>
      <c r="C368" t="s">
        <v>145</v>
      </c>
      <c r="D368" s="6">
        <v>42840</v>
      </c>
      <c r="E368" s="6">
        <v>42868</v>
      </c>
      <c r="F368" s="6">
        <v>42857</v>
      </c>
      <c r="G368" s="3" t="s">
        <v>645</v>
      </c>
      <c r="H368" s="3">
        <v>105.95</v>
      </c>
      <c r="I368" s="3" t="s">
        <v>349</v>
      </c>
      <c r="J368" s="3" t="str">
        <f t="shared" si="5"/>
        <v>Apr</v>
      </c>
      <c r="K368"/>
      <c r="L368"/>
      <c r="M368" s="6"/>
      <c r="N368" s="6"/>
      <c r="O368" s="6"/>
      <c r="P368" s="3"/>
      <c r="Q368" s="3"/>
      <c r="R368" s="3"/>
      <c r="S368" s="3"/>
    </row>
    <row r="369" spans="2:19" s="2" customFormat="1" hidden="1" x14ac:dyDescent="0.25">
      <c r="B369">
        <v>10542</v>
      </c>
      <c r="C369" t="s">
        <v>145</v>
      </c>
      <c r="D369" s="6">
        <v>42875</v>
      </c>
      <c r="E369" s="6">
        <v>42903</v>
      </c>
      <c r="F369" s="6">
        <v>42881</v>
      </c>
      <c r="G369" s="3" t="s">
        <v>646</v>
      </c>
      <c r="H369" s="3">
        <v>54.75</v>
      </c>
      <c r="I369" s="3" t="s">
        <v>349</v>
      </c>
      <c r="J369" s="3" t="str">
        <f t="shared" si="5"/>
        <v>May</v>
      </c>
      <c r="K369"/>
      <c r="L369"/>
      <c r="M369" s="6"/>
      <c r="N369" s="6"/>
      <c r="O369" s="6"/>
      <c r="P369" s="3"/>
      <c r="Q369" s="3"/>
      <c r="R369" s="3"/>
      <c r="S369" s="3"/>
    </row>
    <row r="370" spans="2:19" s="2" customFormat="1" hidden="1" x14ac:dyDescent="0.25">
      <c r="B370">
        <v>10630</v>
      </c>
      <c r="C370" t="s">
        <v>145</v>
      </c>
      <c r="D370" s="6">
        <v>42960</v>
      </c>
      <c r="E370" s="6">
        <v>42988</v>
      </c>
      <c r="F370" s="6">
        <v>42966</v>
      </c>
      <c r="G370" s="3" t="s">
        <v>645</v>
      </c>
      <c r="H370" s="3">
        <v>161.75</v>
      </c>
      <c r="I370" s="3" t="s">
        <v>349</v>
      </c>
      <c r="J370" s="3" t="str">
        <f t="shared" si="5"/>
        <v>Aug</v>
      </c>
      <c r="K370"/>
      <c r="L370"/>
      <c r="M370" s="6"/>
      <c r="N370" s="6"/>
      <c r="O370" s="6"/>
      <c r="P370" s="3"/>
      <c r="Q370" s="3"/>
      <c r="R370" s="3"/>
      <c r="S370" s="3"/>
    </row>
    <row r="371" spans="2:19" s="2" customFormat="1" hidden="1" x14ac:dyDescent="0.25">
      <c r="B371">
        <v>10718</v>
      </c>
      <c r="C371" t="s">
        <v>145</v>
      </c>
      <c r="D371" s="6">
        <v>43035</v>
      </c>
      <c r="E371" s="6">
        <v>43063</v>
      </c>
      <c r="F371" s="6">
        <v>43037</v>
      </c>
      <c r="G371" s="3" t="s">
        <v>646</v>
      </c>
      <c r="H371" s="3">
        <v>854.4</v>
      </c>
      <c r="I371" s="3" t="s">
        <v>349</v>
      </c>
      <c r="J371" s="3" t="str">
        <f t="shared" si="5"/>
        <v>Oct</v>
      </c>
      <c r="K371"/>
      <c r="L371"/>
      <c r="M371" s="6"/>
      <c r="N371" s="6"/>
      <c r="O371" s="6"/>
      <c r="P371" s="3"/>
      <c r="Q371" s="3"/>
      <c r="R371" s="3"/>
      <c r="S371" s="3"/>
    </row>
    <row r="372" spans="2:19" s="2" customFormat="1" hidden="1" x14ac:dyDescent="0.25">
      <c r="B372">
        <v>10799</v>
      </c>
      <c r="C372" t="s">
        <v>145</v>
      </c>
      <c r="D372" s="6">
        <v>43095</v>
      </c>
      <c r="E372" s="6">
        <v>43137</v>
      </c>
      <c r="F372" s="6">
        <v>43105</v>
      </c>
      <c r="G372" s="3" t="s">
        <v>646</v>
      </c>
      <c r="H372" s="3">
        <v>153.80000000000001</v>
      </c>
      <c r="I372" s="3" t="s">
        <v>349</v>
      </c>
      <c r="J372" s="3" t="str">
        <f t="shared" si="5"/>
        <v>Dec</v>
      </c>
      <c r="K372"/>
      <c r="L372"/>
      <c r="M372" s="6"/>
      <c r="N372" s="6"/>
      <c r="O372" s="6"/>
      <c r="P372" s="3"/>
      <c r="Q372" s="3"/>
      <c r="R372" s="3"/>
      <c r="S372" s="3"/>
    </row>
    <row r="373" spans="2:19" s="2" customFormat="1" hidden="1" x14ac:dyDescent="0.25">
      <c r="B373">
        <v>10817</v>
      </c>
      <c r="C373" t="s">
        <v>145</v>
      </c>
      <c r="D373" s="6">
        <v>43106</v>
      </c>
      <c r="E373" s="6">
        <v>43120</v>
      </c>
      <c r="F373" s="6">
        <v>43113</v>
      </c>
      <c r="G373" s="3" t="s">
        <v>645</v>
      </c>
      <c r="H373" s="3">
        <v>1530.35</v>
      </c>
      <c r="I373" s="3" t="s">
        <v>349</v>
      </c>
      <c r="J373" s="3" t="str">
        <f t="shared" si="5"/>
        <v>Jan</v>
      </c>
      <c r="K373"/>
      <c r="L373"/>
      <c r="M373" s="6"/>
      <c r="N373" s="6"/>
      <c r="O373" s="6"/>
      <c r="P373" s="3"/>
      <c r="Q373" s="3"/>
      <c r="R373" s="3"/>
      <c r="S373" s="3"/>
    </row>
    <row r="374" spans="2:19" s="2" customFormat="1" hidden="1" x14ac:dyDescent="0.25">
      <c r="B374">
        <v>10849</v>
      </c>
      <c r="C374" t="s">
        <v>145</v>
      </c>
      <c r="D374" s="6">
        <v>43123</v>
      </c>
      <c r="E374" s="6">
        <v>43151</v>
      </c>
      <c r="F374" s="6">
        <v>43130</v>
      </c>
      <c r="G374" s="3" t="s">
        <v>645</v>
      </c>
      <c r="H374" s="3">
        <v>2.8000000000000003</v>
      </c>
      <c r="I374" s="3" t="s">
        <v>349</v>
      </c>
      <c r="J374" s="3" t="str">
        <f t="shared" si="5"/>
        <v>Jan</v>
      </c>
      <c r="K374"/>
      <c r="L374"/>
      <c r="M374" s="6"/>
      <c r="N374" s="6"/>
      <c r="O374" s="6"/>
      <c r="P374" s="3"/>
      <c r="Q374" s="3"/>
      <c r="R374" s="3"/>
      <c r="S374" s="3"/>
    </row>
    <row r="375" spans="2:19" s="2" customFormat="1" hidden="1" x14ac:dyDescent="0.25">
      <c r="B375">
        <v>10893</v>
      </c>
      <c r="C375" t="s">
        <v>145</v>
      </c>
      <c r="D375" s="6">
        <v>43149</v>
      </c>
      <c r="E375" s="6">
        <v>43177</v>
      </c>
      <c r="F375" s="6">
        <v>43151</v>
      </c>
      <c r="G375" s="3" t="s">
        <v>645</v>
      </c>
      <c r="H375" s="3">
        <v>388.9</v>
      </c>
      <c r="I375" s="3" t="s">
        <v>349</v>
      </c>
      <c r="J375" s="3" t="str">
        <f t="shared" si="5"/>
        <v>Feb</v>
      </c>
      <c r="K375"/>
      <c r="L375"/>
      <c r="M375" s="6"/>
      <c r="N375" s="6"/>
      <c r="O375" s="6"/>
      <c r="P375" s="3"/>
      <c r="Q375" s="3"/>
      <c r="R375" s="3"/>
      <c r="S375" s="3"/>
    </row>
    <row r="376" spans="2:19" s="2" customFormat="1" hidden="1" x14ac:dyDescent="0.25">
      <c r="B376">
        <v>11028</v>
      </c>
      <c r="C376" t="s">
        <v>145</v>
      </c>
      <c r="D376" s="6">
        <v>43206</v>
      </c>
      <c r="E376" s="6">
        <v>43234</v>
      </c>
      <c r="F376" s="6">
        <v>43212</v>
      </c>
      <c r="G376" s="3" t="s">
        <v>644</v>
      </c>
      <c r="H376" s="3">
        <v>147.94999999999999</v>
      </c>
      <c r="I376" s="3" t="s">
        <v>349</v>
      </c>
      <c r="J376" s="3" t="str">
        <f t="shared" si="5"/>
        <v>Apr</v>
      </c>
      <c r="K376"/>
      <c r="L376"/>
      <c r="M376" s="6"/>
      <c r="N376" s="6"/>
      <c r="O376" s="6"/>
      <c r="P376" s="3"/>
      <c r="Q376" s="3"/>
      <c r="R376" s="3"/>
      <c r="S376" s="3"/>
    </row>
    <row r="377" spans="2:19" s="2" customFormat="1" hidden="1" x14ac:dyDescent="0.25">
      <c r="B377">
        <v>10858</v>
      </c>
      <c r="C377" t="s">
        <v>147</v>
      </c>
      <c r="D377" s="6">
        <v>43129</v>
      </c>
      <c r="E377" s="6">
        <v>43157</v>
      </c>
      <c r="F377" s="6">
        <v>43134</v>
      </c>
      <c r="G377" s="3" t="s">
        <v>644</v>
      </c>
      <c r="H377" s="3">
        <v>262.55</v>
      </c>
      <c r="I377" s="3" t="s">
        <v>350</v>
      </c>
      <c r="J377" s="3" t="str">
        <f t="shared" si="5"/>
        <v>Jan</v>
      </c>
      <c r="K377"/>
      <c r="L377"/>
      <c r="M377" s="6"/>
      <c r="N377" s="6"/>
      <c r="O377" s="6"/>
      <c r="P377" s="3"/>
      <c r="Q377" s="3"/>
      <c r="R377" s="3"/>
      <c r="S377" s="3"/>
    </row>
    <row r="378" spans="2:19" s="2" customFormat="1" hidden="1" x14ac:dyDescent="0.25">
      <c r="B378">
        <v>10927</v>
      </c>
      <c r="C378" t="s">
        <v>147</v>
      </c>
      <c r="D378" s="6">
        <v>43164</v>
      </c>
      <c r="E378" s="6">
        <v>43192</v>
      </c>
      <c r="F378" s="6">
        <v>43198</v>
      </c>
      <c r="G378" s="3" t="s">
        <v>644</v>
      </c>
      <c r="H378" s="3">
        <v>98.949999999999989</v>
      </c>
      <c r="I378" s="3" t="s">
        <v>350</v>
      </c>
      <c r="J378" s="3" t="str">
        <f t="shared" si="5"/>
        <v>Mar</v>
      </c>
      <c r="K378"/>
      <c r="L378"/>
      <c r="M378" s="6"/>
      <c r="N378" s="6"/>
      <c r="O378" s="6"/>
      <c r="P378" s="3"/>
      <c r="Q378" s="3"/>
      <c r="R378" s="3"/>
      <c r="S378" s="3"/>
    </row>
    <row r="379" spans="2:19" s="2" customFormat="1" hidden="1" x14ac:dyDescent="0.25">
      <c r="B379">
        <v>10972</v>
      </c>
      <c r="C379" t="s">
        <v>147</v>
      </c>
      <c r="D379" s="6">
        <v>43183</v>
      </c>
      <c r="E379" s="6">
        <v>43211</v>
      </c>
      <c r="F379" s="6">
        <v>43185</v>
      </c>
      <c r="G379" s="3" t="s">
        <v>645</v>
      </c>
      <c r="H379" s="3">
        <v>0.1</v>
      </c>
      <c r="I379" s="3" t="s">
        <v>350</v>
      </c>
      <c r="J379" s="3" t="str">
        <f t="shared" si="5"/>
        <v>Mar</v>
      </c>
      <c r="K379"/>
      <c r="L379"/>
      <c r="M379" s="6"/>
      <c r="N379" s="6"/>
      <c r="O379" s="6"/>
      <c r="P379" s="3"/>
      <c r="Q379" s="3"/>
      <c r="R379" s="3"/>
      <c r="S379" s="3"/>
    </row>
    <row r="380" spans="2:19" s="2" customFormat="1" hidden="1" x14ac:dyDescent="0.25">
      <c r="B380">
        <v>10973</v>
      </c>
      <c r="C380" t="s">
        <v>147</v>
      </c>
      <c r="D380" s="6">
        <v>43183</v>
      </c>
      <c r="E380" s="6">
        <v>43211</v>
      </c>
      <c r="F380" s="6">
        <v>43186</v>
      </c>
      <c r="G380" s="3" t="s">
        <v>645</v>
      </c>
      <c r="H380" s="3">
        <v>75.849999999999994</v>
      </c>
      <c r="I380" s="3" t="s">
        <v>350</v>
      </c>
      <c r="J380" s="3" t="str">
        <f t="shared" si="5"/>
        <v>Mar</v>
      </c>
      <c r="K380"/>
      <c r="L380"/>
      <c r="M380" s="6"/>
      <c r="N380" s="6"/>
      <c r="O380" s="6"/>
      <c r="P380" s="3"/>
      <c r="Q380" s="3"/>
      <c r="R380" s="3"/>
      <c r="S380" s="3"/>
    </row>
    <row r="381" spans="2:19" s="2" customFormat="1" hidden="1" x14ac:dyDescent="0.25">
      <c r="B381">
        <v>10350</v>
      </c>
      <c r="C381" t="s">
        <v>150</v>
      </c>
      <c r="D381" s="6">
        <v>42685</v>
      </c>
      <c r="E381" s="6">
        <v>42713</v>
      </c>
      <c r="F381" s="6">
        <v>42707</v>
      </c>
      <c r="G381" s="3" t="s">
        <v>645</v>
      </c>
      <c r="H381" s="3">
        <v>320.95</v>
      </c>
      <c r="I381" s="3" t="s">
        <v>351</v>
      </c>
      <c r="J381" s="3" t="str">
        <f t="shared" si="5"/>
        <v>Nov</v>
      </c>
      <c r="K381"/>
      <c r="L381"/>
      <c r="M381" s="6"/>
      <c r="N381" s="6"/>
      <c r="O381" s="6"/>
      <c r="P381" s="3"/>
      <c r="Q381" s="3"/>
      <c r="R381" s="3"/>
      <c r="S381" s="3"/>
    </row>
    <row r="382" spans="2:19" s="2" customFormat="1" hidden="1" x14ac:dyDescent="0.25">
      <c r="B382">
        <v>10358</v>
      </c>
      <c r="C382" t="s">
        <v>150</v>
      </c>
      <c r="D382" s="6">
        <v>42694</v>
      </c>
      <c r="E382" s="6">
        <v>42722</v>
      </c>
      <c r="F382" s="6">
        <v>42701</v>
      </c>
      <c r="G382" s="3" t="s">
        <v>644</v>
      </c>
      <c r="H382" s="3">
        <v>98.2</v>
      </c>
      <c r="I382" s="3" t="s">
        <v>351</v>
      </c>
      <c r="J382" s="3" t="str">
        <f t="shared" si="5"/>
        <v>Nov</v>
      </c>
      <c r="K382"/>
      <c r="L382"/>
      <c r="M382" s="6"/>
      <c r="N382" s="6"/>
      <c r="O382" s="6"/>
      <c r="P382" s="3"/>
      <c r="Q382" s="3"/>
      <c r="R382" s="3"/>
      <c r="S382" s="3"/>
    </row>
    <row r="383" spans="2:19" s="2" customFormat="1" hidden="1" x14ac:dyDescent="0.25">
      <c r="B383">
        <v>10371</v>
      </c>
      <c r="C383" t="s">
        <v>150</v>
      </c>
      <c r="D383" s="6">
        <v>42707</v>
      </c>
      <c r="E383" s="6">
        <v>42735</v>
      </c>
      <c r="F383" s="6">
        <v>42728</v>
      </c>
      <c r="G383" s="3" t="s">
        <v>644</v>
      </c>
      <c r="H383" s="3">
        <v>2.25</v>
      </c>
      <c r="I383" s="3" t="s">
        <v>351</v>
      </c>
      <c r="J383" s="3" t="str">
        <f t="shared" si="5"/>
        <v>Dec</v>
      </c>
      <c r="K383"/>
      <c r="L383"/>
      <c r="M383" s="6"/>
      <c r="N383" s="6"/>
      <c r="O383" s="6"/>
      <c r="P383" s="3"/>
      <c r="Q383" s="3"/>
      <c r="R383" s="3"/>
      <c r="S383" s="3"/>
    </row>
    <row r="384" spans="2:19" s="2" customFormat="1" hidden="1" x14ac:dyDescent="0.25">
      <c r="B384">
        <v>10413</v>
      </c>
      <c r="C384" t="s">
        <v>150</v>
      </c>
      <c r="D384" s="6">
        <v>42749</v>
      </c>
      <c r="E384" s="6">
        <v>42777</v>
      </c>
      <c r="F384" s="6">
        <v>42751</v>
      </c>
      <c r="G384" s="3" t="s">
        <v>645</v>
      </c>
      <c r="H384" s="3">
        <v>478.29999999999995</v>
      </c>
      <c r="I384" s="3" t="s">
        <v>351</v>
      </c>
      <c r="J384" s="3" t="str">
        <f t="shared" si="5"/>
        <v>Jan</v>
      </c>
      <c r="K384"/>
      <c r="L384"/>
      <c r="M384" s="6"/>
      <c r="N384" s="6"/>
      <c r="O384" s="6"/>
      <c r="P384" s="3"/>
      <c r="Q384" s="3"/>
      <c r="R384" s="3"/>
      <c r="S384" s="3"/>
    </row>
    <row r="385" spans="2:19" s="2" customFormat="1" hidden="1" x14ac:dyDescent="0.25">
      <c r="B385">
        <v>10425</v>
      </c>
      <c r="C385" t="s">
        <v>150</v>
      </c>
      <c r="D385" s="6">
        <v>42759</v>
      </c>
      <c r="E385" s="6">
        <v>42787</v>
      </c>
      <c r="F385" s="6">
        <v>42780</v>
      </c>
      <c r="G385" s="3" t="s">
        <v>645</v>
      </c>
      <c r="H385" s="3">
        <v>39.65</v>
      </c>
      <c r="I385" s="3" t="s">
        <v>351</v>
      </c>
      <c r="J385" s="3" t="str">
        <f t="shared" si="5"/>
        <v>Jan</v>
      </c>
      <c r="K385"/>
      <c r="L385"/>
      <c r="M385" s="6"/>
      <c r="N385" s="6"/>
      <c r="O385" s="6"/>
      <c r="P385" s="3"/>
      <c r="Q385" s="3"/>
      <c r="R385" s="3"/>
      <c r="S385" s="3"/>
    </row>
    <row r="386" spans="2:19" s="2" customFormat="1" hidden="1" x14ac:dyDescent="0.25">
      <c r="B386">
        <v>10454</v>
      </c>
      <c r="C386" t="s">
        <v>150</v>
      </c>
      <c r="D386" s="6">
        <v>42787</v>
      </c>
      <c r="E386" s="6">
        <v>42815</v>
      </c>
      <c r="F386" s="6">
        <v>42791</v>
      </c>
      <c r="G386" s="3" t="s">
        <v>646</v>
      </c>
      <c r="H386" s="3">
        <v>13.700000000000001</v>
      </c>
      <c r="I386" s="3" t="s">
        <v>351</v>
      </c>
      <c r="J386" s="3" t="str">
        <f t="shared" si="5"/>
        <v>Feb</v>
      </c>
      <c r="K386"/>
      <c r="L386"/>
      <c r="M386" s="6"/>
      <c r="N386" s="6"/>
      <c r="O386" s="6"/>
      <c r="P386" s="3"/>
      <c r="Q386" s="3"/>
      <c r="R386" s="3"/>
      <c r="S386" s="3"/>
    </row>
    <row r="387" spans="2:19" s="2" customFormat="1" hidden="1" x14ac:dyDescent="0.25">
      <c r="B387">
        <v>10493</v>
      </c>
      <c r="C387" t="s">
        <v>150</v>
      </c>
      <c r="D387" s="6">
        <v>42827</v>
      </c>
      <c r="E387" s="6">
        <v>42855</v>
      </c>
      <c r="F387" s="6">
        <v>42835</v>
      </c>
      <c r="G387" s="3" t="s">
        <v>646</v>
      </c>
      <c r="H387" s="3">
        <v>53.2</v>
      </c>
      <c r="I387" s="3" t="s">
        <v>351</v>
      </c>
      <c r="J387" s="3" t="str">
        <f t="shared" si="5"/>
        <v>Apr</v>
      </c>
      <c r="K387"/>
      <c r="L387"/>
      <c r="M387" s="6"/>
      <c r="N387" s="6"/>
      <c r="O387" s="6"/>
      <c r="P387" s="3"/>
      <c r="Q387" s="3"/>
      <c r="R387" s="3"/>
      <c r="S387" s="3"/>
    </row>
    <row r="388" spans="2:19" s="2" customFormat="1" hidden="1" x14ac:dyDescent="0.25">
      <c r="B388">
        <v>10500</v>
      </c>
      <c r="C388" t="s">
        <v>150</v>
      </c>
      <c r="D388" s="6">
        <v>42834</v>
      </c>
      <c r="E388" s="6">
        <v>42862</v>
      </c>
      <c r="F388" s="6">
        <v>42842</v>
      </c>
      <c r="G388" s="3" t="s">
        <v>644</v>
      </c>
      <c r="H388" s="3">
        <v>213.4</v>
      </c>
      <c r="I388" s="3" t="s">
        <v>351</v>
      </c>
      <c r="J388" s="3" t="str">
        <f t="shared" si="5"/>
        <v>Apr</v>
      </c>
      <c r="K388"/>
      <c r="L388"/>
      <c r="M388" s="6"/>
      <c r="N388" s="6"/>
      <c r="O388" s="6"/>
      <c r="P388" s="3"/>
      <c r="Q388" s="3"/>
      <c r="R388" s="3"/>
      <c r="S388" s="3"/>
    </row>
    <row r="389" spans="2:19" s="2" customFormat="1" hidden="1" x14ac:dyDescent="0.25">
      <c r="B389">
        <v>10610</v>
      </c>
      <c r="C389" t="s">
        <v>150</v>
      </c>
      <c r="D389" s="6">
        <v>42941</v>
      </c>
      <c r="E389" s="6">
        <v>42969</v>
      </c>
      <c r="F389" s="6">
        <v>42953</v>
      </c>
      <c r="G389" s="3" t="s">
        <v>644</v>
      </c>
      <c r="H389" s="3">
        <v>133.9</v>
      </c>
      <c r="I389" s="3" t="s">
        <v>351</v>
      </c>
      <c r="J389" s="3" t="str">
        <f t="shared" si="5"/>
        <v>Jul</v>
      </c>
      <c r="K389"/>
      <c r="L389"/>
      <c r="M389" s="6"/>
      <c r="N389" s="6"/>
      <c r="O389" s="6"/>
      <c r="P389" s="3"/>
      <c r="Q389" s="3"/>
      <c r="R389" s="3"/>
      <c r="S389" s="3"/>
    </row>
    <row r="390" spans="2:19" s="2" customFormat="1" hidden="1" x14ac:dyDescent="0.25">
      <c r="B390">
        <v>10631</v>
      </c>
      <c r="C390" t="s">
        <v>150</v>
      </c>
      <c r="D390" s="6">
        <v>42961</v>
      </c>
      <c r="E390" s="6">
        <v>42989</v>
      </c>
      <c r="F390" s="6">
        <v>42962</v>
      </c>
      <c r="G390" s="3" t="s">
        <v>644</v>
      </c>
      <c r="H390" s="3">
        <v>4.3499999999999996</v>
      </c>
      <c r="I390" s="3" t="s">
        <v>351</v>
      </c>
      <c r="J390" s="3" t="str">
        <f t="shared" si="5"/>
        <v>Aug</v>
      </c>
      <c r="K390"/>
      <c r="L390"/>
      <c r="M390" s="6"/>
      <c r="N390" s="6"/>
      <c r="O390" s="6"/>
      <c r="P390" s="3"/>
      <c r="Q390" s="3"/>
      <c r="R390" s="3"/>
      <c r="S390" s="3"/>
    </row>
    <row r="391" spans="2:19" s="2" customFormat="1" hidden="1" x14ac:dyDescent="0.25">
      <c r="B391">
        <v>10787</v>
      </c>
      <c r="C391" t="s">
        <v>150</v>
      </c>
      <c r="D391" s="6">
        <v>43088</v>
      </c>
      <c r="E391" s="6">
        <v>43102</v>
      </c>
      <c r="F391" s="6">
        <v>43095</v>
      </c>
      <c r="G391" s="3" t="s">
        <v>644</v>
      </c>
      <c r="H391" s="3">
        <v>1249.6500000000001</v>
      </c>
      <c r="I391" s="3" t="s">
        <v>351</v>
      </c>
      <c r="J391" s="3" t="str">
        <f t="shared" si="5"/>
        <v>Dec</v>
      </c>
      <c r="K391"/>
      <c r="L391"/>
      <c r="M391" s="6"/>
      <c r="N391" s="6"/>
      <c r="O391" s="6"/>
      <c r="P391" s="3"/>
      <c r="Q391" s="3"/>
      <c r="R391" s="3"/>
      <c r="S391" s="3"/>
    </row>
    <row r="392" spans="2:19" s="2" customFormat="1" hidden="1" x14ac:dyDescent="0.25">
      <c r="B392">
        <v>10832</v>
      </c>
      <c r="C392" t="s">
        <v>150</v>
      </c>
      <c r="D392" s="6">
        <v>43114</v>
      </c>
      <c r="E392" s="6">
        <v>43142</v>
      </c>
      <c r="F392" s="6">
        <v>43119</v>
      </c>
      <c r="G392" s="3" t="s">
        <v>645</v>
      </c>
      <c r="H392" s="3">
        <v>216.29999999999998</v>
      </c>
      <c r="I392" s="3" t="s">
        <v>351</v>
      </c>
      <c r="J392" s="3" t="str">
        <f t="shared" si="5"/>
        <v>Jan</v>
      </c>
      <c r="K392"/>
      <c r="L392"/>
      <c r="M392" s="6"/>
      <c r="N392" s="6"/>
      <c r="O392" s="6"/>
      <c r="P392" s="3"/>
      <c r="Q392" s="3"/>
      <c r="R392" s="3"/>
      <c r="S392" s="3"/>
    </row>
    <row r="393" spans="2:19" s="2" customFormat="1" hidden="1" x14ac:dyDescent="0.25">
      <c r="B393">
        <v>10923</v>
      </c>
      <c r="C393" t="s">
        <v>150</v>
      </c>
      <c r="D393" s="6">
        <v>43162</v>
      </c>
      <c r="E393" s="6">
        <v>43204</v>
      </c>
      <c r="F393" s="6">
        <v>43172</v>
      </c>
      <c r="G393" s="3" t="s">
        <v>646</v>
      </c>
      <c r="H393" s="3">
        <v>341.3</v>
      </c>
      <c r="I393" s="3" t="s">
        <v>351</v>
      </c>
      <c r="J393" s="3" t="str">
        <f t="shared" si="5"/>
        <v>Mar</v>
      </c>
      <c r="K393"/>
      <c r="L393"/>
      <c r="M393" s="6"/>
      <c r="N393" s="6"/>
      <c r="O393" s="6"/>
      <c r="P393" s="3"/>
      <c r="Q393" s="3"/>
      <c r="R393" s="3"/>
      <c r="S393" s="3"/>
    </row>
    <row r="394" spans="2:19" s="2" customFormat="1" hidden="1" x14ac:dyDescent="0.25">
      <c r="B394">
        <v>11051</v>
      </c>
      <c r="C394" t="s">
        <v>150</v>
      </c>
      <c r="D394" s="6">
        <v>43217</v>
      </c>
      <c r="E394" s="6">
        <v>43245</v>
      </c>
      <c r="F394" s="6"/>
      <c r="G394" s="3" t="s">
        <v>646</v>
      </c>
      <c r="H394" s="3">
        <v>13.95</v>
      </c>
      <c r="I394" s="3" t="s">
        <v>351</v>
      </c>
      <c r="J394" s="3" t="str">
        <f t="shared" si="5"/>
        <v>Apr</v>
      </c>
      <c r="K394"/>
      <c r="L394"/>
      <c r="M394" s="6"/>
      <c r="N394" s="6"/>
      <c r="O394" s="6"/>
      <c r="P394" s="3"/>
      <c r="Q394" s="3"/>
      <c r="R394" s="3"/>
      <c r="S394" s="3"/>
    </row>
    <row r="395" spans="2:19" s="2" customFormat="1" hidden="1" x14ac:dyDescent="0.25">
      <c r="B395">
        <v>10495</v>
      </c>
      <c r="C395" t="s">
        <v>153</v>
      </c>
      <c r="D395" s="6">
        <v>42828</v>
      </c>
      <c r="E395" s="6">
        <v>42856</v>
      </c>
      <c r="F395" s="6">
        <v>42836</v>
      </c>
      <c r="G395" s="3" t="s">
        <v>646</v>
      </c>
      <c r="H395" s="3">
        <v>23.25</v>
      </c>
      <c r="I395" s="3" t="s">
        <v>352</v>
      </c>
      <c r="J395" s="3" t="str">
        <f t="shared" si="5"/>
        <v>Apr</v>
      </c>
      <c r="K395"/>
      <c r="L395"/>
      <c r="M395" s="6"/>
      <c r="N395" s="6"/>
      <c r="O395" s="6"/>
      <c r="P395" s="3"/>
      <c r="Q395" s="3"/>
      <c r="R395" s="3"/>
      <c r="S395" s="3"/>
    </row>
    <row r="396" spans="2:19" s="2" customFormat="1" hidden="1" x14ac:dyDescent="0.25">
      <c r="B396">
        <v>10620</v>
      </c>
      <c r="C396" t="s">
        <v>153</v>
      </c>
      <c r="D396" s="6">
        <v>42952</v>
      </c>
      <c r="E396" s="6">
        <v>42980</v>
      </c>
      <c r="F396" s="6">
        <v>42961</v>
      </c>
      <c r="G396" s="3" t="s">
        <v>646</v>
      </c>
      <c r="H396" s="3">
        <v>4.6999999999999993</v>
      </c>
      <c r="I396" s="3" t="s">
        <v>352</v>
      </c>
      <c r="J396" s="3" t="str">
        <f t="shared" si="5"/>
        <v>Aug</v>
      </c>
      <c r="K396"/>
      <c r="L396"/>
      <c r="M396" s="6"/>
      <c r="N396" s="6"/>
      <c r="O396" s="6"/>
      <c r="P396" s="3"/>
      <c r="Q396" s="3"/>
      <c r="R396" s="3"/>
      <c r="S396" s="3"/>
    </row>
    <row r="397" spans="2:19" s="2" customFormat="1" hidden="1" x14ac:dyDescent="0.25">
      <c r="B397">
        <v>10810</v>
      </c>
      <c r="C397" t="s">
        <v>153</v>
      </c>
      <c r="D397" s="6">
        <v>43101</v>
      </c>
      <c r="E397" s="6">
        <v>43129</v>
      </c>
      <c r="F397" s="6">
        <v>43107</v>
      </c>
      <c r="G397" s="3" t="s">
        <v>646</v>
      </c>
      <c r="H397" s="3">
        <v>21.65</v>
      </c>
      <c r="I397" s="3" t="s">
        <v>352</v>
      </c>
      <c r="J397" s="3" t="str">
        <f t="shared" si="5"/>
        <v>Jan</v>
      </c>
      <c r="K397"/>
      <c r="L397"/>
      <c r="M397" s="6"/>
      <c r="N397" s="6"/>
      <c r="O397" s="6"/>
      <c r="P397" s="3"/>
      <c r="Q397" s="3"/>
      <c r="R397" s="3"/>
      <c r="S397" s="3"/>
    </row>
    <row r="398" spans="2:19" s="2" customFormat="1" hidden="1" x14ac:dyDescent="0.25">
      <c r="B398">
        <v>10482</v>
      </c>
      <c r="C398" t="s">
        <v>156</v>
      </c>
      <c r="D398" s="6">
        <v>42815</v>
      </c>
      <c r="E398" s="6">
        <v>42843</v>
      </c>
      <c r="F398" s="6">
        <v>42835</v>
      </c>
      <c r="G398" s="3" t="s">
        <v>646</v>
      </c>
      <c r="H398" s="3">
        <v>37.400000000000006</v>
      </c>
      <c r="I398" s="3" t="s">
        <v>353</v>
      </c>
      <c r="J398" s="3" t="str">
        <f t="shared" si="5"/>
        <v>Mar</v>
      </c>
      <c r="K398"/>
      <c r="L398"/>
      <c r="M398" s="6"/>
      <c r="N398" s="6"/>
      <c r="O398" s="6"/>
      <c r="P398" s="3"/>
      <c r="Q398" s="3"/>
      <c r="R398" s="3"/>
      <c r="S398" s="3"/>
    </row>
    <row r="399" spans="2:19" s="2" customFormat="1" hidden="1" x14ac:dyDescent="0.25">
      <c r="B399">
        <v>10545</v>
      </c>
      <c r="C399" t="s">
        <v>156</v>
      </c>
      <c r="D399" s="6">
        <v>42877</v>
      </c>
      <c r="E399" s="6">
        <v>42905</v>
      </c>
      <c r="F399" s="6">
        <v>42912</v>
      </c>
      <c r="G399" s="3" t="s">
        <v>645</v>
      </c>
      <c r="H399" s="3">
        <v>59.6</v>
      </c>
      <c r="I399" s="3" t="s">
        <v>353</v>
      </c>
      <c r="J399" s="3" t="str">
        <f t="shared" si="5"/>
        <v>May</v>
      </c>
      <c r="K399"/>
      <c r="L399"/>
      <c r="M399" s="6"/>
      <c r="N399" s="6"/>
      <c r="O399" s="6"/>
      <c r="P399" s="3"/>
      <c r="Q399" s="3"/>
      <c r="R399" s="3"/>
      <c r="S399" s="3"/>
    </row>
    <row r="400" spans="2:19" s="2" customFormat="1" hidden="1" x14ac:dyDescent="0.25">
      <c r="B400">
        <v>10279</v>
      </c>
      <c r="C400" t="s">
        <v>160</v>
      </c>
      <c r="D400" s="6">
        <v>42595</v>
      </c>
      <c r="E400" s="6">
        <v>42623</v>
      </c>
      <c r="F400" s="6">
        <v>42598</v>
      </c>
      <c r="G400" s="3" t="s">
        <v>645</v>
      </c>
      <c r="H400" s="3">
        <v>129.14999999999998</v>
      </c>
      <c r="I400" s="3" t="s">
        <v>354</v>
      </c>
      <c r="J400" s="3" t="str">
        <f t="shared" si="5"/>
        <v>Aug</v>
      </c>
      <c r="K400"/>
      <c r="L400"/>
      <c r="M400" s="6"/>
      <c r="N400" s="6"/>
      <c r="O400" s="6"/>
      <c r="P400" s="3"/>
      <c r="Q400" s="3"/>
      <c r="R400" s="3"/>
      <c r="S400" s="3"/>
    </row>
    <row r="401" spans="2:19" s="2" customFormat="1" hidden="1" x14ac:dyDescent="0.25">
      <c r="B401">
        <v>10284</v>
      </c>
      <c r="C401" t="s">
        <v>160</v>
      </c>
      <c r="D401" s="6">
        <v>42601</v>
      </c>
      <c r="E401" s="6">
        <v>42629</v>
      </c>
      <c r="F401" s="6">
        <v>42609</v>
      </c>
      <c r="G401" s="3" t="s">
        <v>644</v>
      </c>
      <c r="H401" s="3">
        <v>382.8</v>
      </c>
      <c r="I401" s="3" t="s">
        <v>354</v>
      </c>
      <c r="J401" s="3" t="str">
        <f t="shared" ref="J401:J464" si="6">TEXT(D401,"mmm")</f>
        <v>Aug</v>
      </c>
      <c r="K401"/>
      <c r="L401"/>
      <c r="M401" s="6"/>
      <c r="N401" s="6"/>
      <c r="O401" s="6"/>
      <c r="P401" s="3"/>
      <c r="Q401" s="3"/>
      <c r="R401" s="3"/>
      <c r="S401" s="3"/>
    </row>
    <row r="402" spans="2:19" s="2" customFormat="1" hidden="1" x14ac:dyDescent="0.25">
      <c r="B402">
        <v>10343</v>
      </c>
      <c r="C402" t="s">
        <v>160</v>
      </c>
      <c r="D402" s="6">
        <v>42674</v>
      </c>
      <c r="E402" s="6">
        <v>42702</v>
      </c>
      <c r="F402" s="6">
        <v>42680</v>
      </c>
      <c r="G402" s="3" t="s">
        <v>644</v>
      </c>
      <c r="H402" s="3">
        <v>551.85</v>
      </c>
      <c r="I402" s="3" t="s">
        <v>354</v>
      </c>
      <c r="J402" s="3" t="str">
        <f t="shared" si="6"/>
        <v>Oct</v>
      </c>
      <c r="K402"/>
      <c r="L402"/>
      <c r="M402" s="6"/>
      <c r="N402" s="6"/>
      <c r="O402" s="6"/>
      <c r="P402" s="3"/>
      <c r="Q402" s="3"/>
      <c r="R402" s="3"/>
      <c r="S402" s="3"/>
    </row>
    <row r="403" spans="2:19" s="2" customFormat="1" hidden="1" x14ac:dyDescent="0.25">
      <c r="B403">
        <v>10497</v>
      </c>
      <c r="C403" t="s">
        <v>160</v>
      </c>
      <c r="D403" s="6">
        <v>42829</v>
      </c>
      <c r="E403" s="6">
        <v>42857</v>
      </c>
      <c r="F403" s="6">
        <v>42832</v>
      </c>
      <c r="G403" s="3" t="s">
        <v>644</v>
      </c>
      <c r="H403" s="3">
        <v>181.05</v>
      </c>
      <c r="I403" s="3" t="s">
        <v>354</v>
      </c>
      <c r="J403" s="3" t="str">
        <f t="shared" si="6"/>
        <v>Apr</v>
      </c>
      <c r="K403"/>
      <c r="L403"/>
      <c r="M403" s="6"/>
      <c r="N403" s="6"/>
      <c r="O403" s="6"/>
      <c r="P403" s="3"/>
      <c r="Q403" s="3"/>
      <c r="R403" s="3"/>
      <c r="S403" s="3"/>
    </row>
    <row r="404" spans="2:19" s="2" customFormat="1" hidden="1" x14ac:dyDescent="0.25">
      <c r="B404">
        <v>10522</v>
      </c>
      <c r="C404" t="s">
        <v>160</v>
      </c>
      <c r="D404" s="6">
        <v>42855</v>
      </c>
      <c r="E404" s="6">
        <v>42883</v>
      </c>
      <c r="F404" s="6">
        <v>42861</v>
      </c>
      <c r="G404" s="3" t="s">
        <v>644</v>
      </c>
      <c r="H404" s="3">
        <v>226.64999999999998</v>
      </c>
      <c r="I404" s="3" t="s">
        <v>354</v>
      </c>
      <c r="J404" s="3" t="str">
        <f t="shared" si="6"/>
        <v>Apr</v>
      </c>
      <c r="K404"/>
      <c r="L404"/>
      <c r="M404" s="6"/>
      <c r="N404" s="6"/>
      <c r="O404" s="6"/>
      <c r="P404" s="3"/>
      <c r="Q404" s="3"/>
      <c r="R404" s="3"/>
      <c r="S404" s="3"/>
    </row>
    <row r="405" spans="2:19" s="2" customFormat="1" hidden="1" x14ac:dyDescent="0.25">
      <c r="B405">
        <v>10534</v>
      </c>
      <c r="C405" t="s">
        <v>160</v>
      </c>
      <c r="D405" s="6">
        <v>42867</v>
      </c>
      <c r="E405" s="6">
        <v>42895</v>
      </c>
      <c r="F405" s="6">
        <v>42869</v>
      </c>
      <c r="G405" s="3" t="s">
        <v>645</v>
      </c>
      <c r="H405" s="3">
        <v>139.70000000000002</v>
      </c>
      <c r="I405" s="3" t="s">
        <v>354</v>
      </c>
      <c r="J405" s="3" t="str">
        <f t="shared" si="6"/>
        <v>May</v>
      </c>
      <c r="K405"/>
      <c r="L405"/>
      <c r="M405" s="6"/>
      <c r="N405" s="6"/>
      <c r="O405" s="6"/>
      <c r="P405" s="3"/>
      <c r="Q405" s="3"/>
      <c r="R405" s="3"/>
      <c r="S405" s="3"/>
    </row>
    <row r="406" spans="2:19" s="2" customFormat="1" hidden="1" x14ac:dyDescent="0.25">
      <c r="B406">
        <v>10536</v>
      </c>
      <c r="C406" t="s">
        <v>160</v>
      </c>
      <c r="D406" s="6">
        <v>42869</v>
      </c>
      <c r="E406" s="6">
        <v>42897</v>
      </c>
      <c r="F406" s="6">
        <v>42892</v>
      </c>
      <c r="G406" s="3" t="s">
        <v>645</v>
      </c>
      <c r="H406" s="3">
        <v>294.40000000000003</v>
      </c>
      <c r="I406" s="3" t="s">
        <v>354</v>
      </c>
      <c r="J406" s="3" t="str">
        <f t="shared" si="6"/>
        <v>May</v>
      </c>
      <c r="K406"/>
      <c r="L406"/>
      <c r="M406" s="6"/>
      <c r="N406" s="6"/>
      <c r="O406" s="6"/>
      <c r="P406" s="3"/>
      <c r="Q406" s="3"/>
      <c r="R406" s="3"/>
      <c r="S406" s="3"/>
    </row>
    <row r="407" spans="2:19" s="2" customFormat="1" hidden="1" x14ac:dyDescent="0.25">
      <c r="B407">
        <v>10557</v>
      </c>
      <c r="C407" t="s">
        <v>160</v>
      </c>
      <c r="D407" s="6">
        <v>42889</v>
      </c>
      <c r="E407" s="6">
        <v>42903</v>
      </c>
      <c r="F407" s="6">
        <v>42892</v>
      </c>
      <c r="G407" s="3" t="s">
        <v>645</v>
      </c>
      <c r="H407" s="3">
        <v>483.6</v>
      </c>
      <c r="I407" s="3" t="s">
        <v>354</v>
      </c>
      <c r="J407" s="3" t="str">
        <f t="shared" si="6"/>
        <v>Jun</v>
      </c>
      <c r="K407"/>
      <c r="L407"/>
      <c r="M407" s="6"/>
      <c r="N407" s="6"/>
      <c r="O407" s="6"/>
      <c r="P407" s="3"/>
      <c r="Q407" s="3"/>
      <c r="R407" s="3"/>
      <c r="S407" s="3"/>
    </row>
    <row r="408" spans="2:19" s="2" customFormat="1" hidden="1" x14ac:dyDescent="0.25">
      <c r="B408">
        <v>10592</v>
      </c>
      <c r="C408" t="s">
        <v>160</v>
      </c>
      <c r="D408" s="6">
        <v>42924</v>
      </c>
      <c r="E408" s="6">
        <v>42952</v>
      </c>
      <c r="F408" s="6">
        <v>42932</v>
      </c>
      <c r="G408" s="3" t="s">
        <v>644</v>
      </c>
      <c r="H408" s="3">
        <v>160.5</v>
      </c>
      <c r="I408" s="3" t="s">
        <v>354</v>
      </c>
      <c r="J408" s="3" t="str">
        <f t="shared" si="6"/>
        <v>Jul</v>
      </c>
      <c r="K408"/>
      <c r="L408"/>
      <c r="M408" s="6"/>
      <c r="N408" s="6"/>
      <c r="O408" s="6"/>
      <c r="P408" s="3"/>
      <c r="Q408" s="3"/>
      <c r="R408" s="3"/>
      <c r="S408" s="3"/>
    </row>
    <row r="409" spans="2:19" s="2" customFormat="1" hidden="1" x14ac:dyDescent="0.25">
      <c r="B409">
        <v>10593</v>
      </c>
      <c r="C409" t="s">
        <v>160</v>
      </c>
      <c r="D409" s="6">
        <v>42925</v>
      </c>
      <c r="E409" s="6">
        <v>42953</v>
      </c>
      <c r="F409" s="6">
        <v>42960</v>
      </c>
      <c r="G409" s="3" t="s">
        <v>645</v>
      </c>
      <c r="H409" s="3">
        <v>871</v>
      </c>
      <c r="I409" s="3" t="s">
        <v>354</v>
      </c>
      <c r="J409" s="3" t="str">
        <f t="shared" si="6"/>
        <v>Jul</v>
      </c>
      <c r="K409"/>
      <c r="L409"/>
      <c r="M409" s="6"/>
      <c r="N409" s="6"/>
      <c r="O409" s="6"/>
      <c r="P409" s="3"/>
      <c r="Q409" s="3"/>
      <c r="R409" s="3"/>
      <c r="S409" s="3"/>
    </row>
    <row r="410" spans="2:19" s="2" customFormat="1" hidden="1" x14ac:dyDescent="0.25">
      <c r="B410">
        <v>10772</v>
      </c>
      <c r="C410" t="s">
        <v>160</v>
      </c>
      <c r="D410" s="6">
        <v>43079</v>
      </c>
      <c r="E410" s="6">
        <v>43107</v>
      </c>
      <c r="F410" s="6">
        <v>43088</v>
      </c>
      <c r="G410" s="3" t="s">
        <v>645</v>
      </c>
      <c r="H410" s="3">
        <v>456.4</v>
      </c>
      <c r="I410" s="3" t="s">
        <v>354</v>
      </c>
      <c r="J410" s="3" t="str">
        <f t="shared" si="6"/>
        <v>Dec</v>
      </c>
      <c r="K410"/>
      <c r="L410"/>
      <c r="M410" s="6"/>
      <c r="N410" s="6"/>
      <c r="O410" s="6"/>
      <c r="P410" s="3"/>
      <c r="Q410" s="3"/>
      <c r="R410" s="3"/>
      <c r="S410" s="3"/>
    </row>
    <row r="411" spans="2:19" s="2" customFormat="1" hidden="1" x14ac:dyDescent="0.25">
      <c r="B411">
        <v>10862</v>
      </c>
      <c r="C411" t="s">
        <v>160</v>
      </c>
      <c r="D411" s="6">
        <v>43130</v>
      </c>
      <c r="E411" s="6">
        <v>43172</v>
      </c>
      <c r="F411" s="6">
        <v>43133</v>
      </c>
      <c r="G411" s="3" t="s">
        <v>645</v>
      </c>
      <c r="H411" s="3">
        <v>266.14999999999998</v>
      </c>
      <c r="I411" s="3" t="s">
        <v>354</v>
      </c>
      <c r="J411" s="3" t="str">
        <f t="shared" si="6"/>
        <v>Jan</v>
      </c>
      <c r="K411"/>
      <c r="L411"/>
      <c r="M411" s="6"/>
      <c r="N411" s="6"/>
      <c r="O411" s="6"/>
      <c r="P411" s="3"/>
      <c r="Q411" s="3"/>
      <c r="R411" s="3"/>
      <c r="S411" s="3"/>
    </row>
    <row r="412" spans="2:19" s="2" customFormat="1" hidden="1" x14ac:dyDescent="0.25">
      <c r="B412">
        <v>10891</v>
      </c>
      <c r="C412" t="s">
        <v>160</v>
      </c>
      <c r="D412" s="6">
        <v>43148</v>
      </c>
      <c r="E412" s="6">
        <v>43176</v>
      </c>
      <c r="F412" s="6">
        <v>43150</v>
      </c>
      <c r="G412" s="3" t="s">
        <v>645</v>
      </c>
      <c r="H412" s="3">
        <v>101.85000000000001</v>
      </c>
      <c r="I412" s="3" t="s">
        <v>354</v>
      </c>
      <c r="J412" s="3" t="str">
        <f t="shared" si="6"/>
        <v>Feb</v>
      </c>
      <c r="K412"/>
      <c r="L412"/>
      <c r="M412" s="6"/>
      <c r="N412" s="6"/>
      <c r="O412" s="6"/>
      <c r="P412" s="3"/>
      <c r="Q412" s="3"/>
      <c r="R412" s="3"/>
      <c r="S412" s="3"/>
    </row>
    <row r="413" spans="2:19" s="2" customFormat="1" hidden="1" x14ac:dyDescent="0.25">
      <c r="B413">
        <v>10934</v>
      </c>
      <c r="C413" t="s">
        <v>160</v>
      </c>
      <c r="D413" s="6">
        <v>43168</v>
      </c>
      <c r="E413" s="6">
        <v>43196</v>
      </c>
      <c r="F413" s="6">
        <v>43171</v>
      </c>
      <c r="G413" s="3" t="s">
        <v>646</v>
      </c>
      <c r="H413" s="3">
        <v>160.04999999999998</v>
      </c>
      <c r="I413" s="3" t="s">
        <v>354</v>
      </c>
      <c r="J413" s="3" t="str">
        <f t="shared" si="6"/>
        <v>Mar</v>
      </c>
      <c r="K413"/>
      <c r="L413"/>
      <c r="M413" s="6"/>
      <c r="N413" s="6"/>
      <c r="O413" s="6"/>
      <c r="P413" s="3"/>
      <c r="Q413" s="3"/>
      <c r="R413" s="3"/>
      <c r="S413" s="3"/>
    </row>
    <row r="414" spans="2:19" s="2" customFormat="1" hidden="1" x14ac:dyDescent="0.25">
      <c r="B414">
        <v>11070</v>
      </c>
      <c r="C414" t="s">
        <v>160</v>
      </c>
      <c r="D414" s="6">
        <v>43225</v>
      </c>
      <c r="E414" s="6">
        <v>43253</v>
      </c>
      <c r="F414" s="6"/>
      <c r="G414" s="3" t="s">
        <v>644</v>
      </c>
      <c r="H414" s="3">
        <v>680</v>
      </c>
      <c r="I414" s="3" t="s">
        <v>354</v>
      </c>
      <c r="J414" s="3" t="str">
        <f t="shared" si="6"/>
        <v>May</v>
      </c>
      <c r="K414"/>
      <c r="L414"/>
      <c r="M414" s="6"/>
      <c r="N414" s="6"/>
      <c r="O414" s="6"/>
      <c r="P414" s="3"/>
      <c r="Q414" s="3"/>
      <c r="R414" s="3"/>
      <c r="S414" s="3"/>
    </row>
    <row r="415" spans="2:19" s="2" customFormat="1" hidden="1" x14ac:dyDescent="0.25">
      <c r="B415">
        <v>10579</v>
      </c>
      <c r="C415" t="s">
        <v>163</v>
      </c>
      <c r="D415" s="6">
        <v>42911</v>
      </c>
      <c r="E415" s="6">
        <v>42939</v>
      </c>
      <c r="F415" s="6">
        <v>42920</v>
      </c>
      <c r="G415" s="3" t="s">
        <v>645</v>
      </c>
      <c r="H415" s="3">
        <v>68.650000000000006</v>
      </c>
      <c r="I415" s="3" t="s">
        <v>13</v>
      </c>
      <c r="J415" s="3" t="str">
        <f t="shared" si="6"/>
        <v>Jun</v>
      </c>
      <c r="K415"/>
      <c r="L415"/>
      <c r="M415" s="6"/>
      <c r="N415" s="6"/>
      <c r="O415" s="6"/>
      <c r="P415" s="3"/>
      <c r="Q415" s="3"/>
      <c r="R415" s="3"/>
      <c r="S415" s="3"/>
    </row>
    <row r="416" spans="2:19" s="2" customFormat="1" hidden="1" x14ac:dyDescent="0.25">
      <c r="B416">
        <v>10719</v>
      </c>
      <c r="C416" t="s">
        <v>163</v>
      </c>
      <c r="D416" s="6">
        <v>43035</v>
      </c>
      <c r="E416" s="6">
        <v>43063</v>
      </c>
      <c r="F416" s="6">
        <v>43044</v>
      </c>
      <c r="G416" s="3" t="s">
        <v>645</v>
      </c>
      <c r="H416" s="3">
        <v>257.2</v>
      </c>
      <c r="I416" s="3" t="s">
        <v>13</v>
      </c>
      <c r="J416" s="3" t="str">
        <f t="shared" si="6"/>
        <v>Oct</v>
      </c>
      <c r="K416"/>
      <c r="L416"/>
      <c r="M416" s="6"/>
      <c r="N416" s="6"/>
      <c r="O416" s="6"/>
      <c r="P416" s="3"/>
      <c r="Q416" s="3"/>
      <c r="R416" s="3"/>
      <c r="S416" s="3"/>
    </row>
    <row r="417" spans="2:19" s="2" customFormat="1" hidden="1" x14ac:dyDescent="0.25">
      <c r="B417">
        <v>10735</v>
      </c>
      <c r="C417" t="s">
        <v>163</v>
      </c>
      <c r="D417" s="6">
        <v>43049</v>
      </c>
      <c r="E417" s="6">
        <v>43077</v>
      </c>
      <c r="F417" s="6">
        <v>43060</v>
      </c>
      <c r="G417" s="3" t="s">
        <v>645</v>
      </c>
      <c r="H417" s="3">
        <v>229.85</v>
      </c>
      <c r="I417" s="3" t="s">
        <v>13</v>
      </c>
      <c r="J417" s="3" t="str">
        <f t="shared" si="6"/>
        <v>Nov</v>
      </c>
      <c r="K417"/>
      <c r="L417"/>
      <c r="M417" s="6"/>
      <c r="N417" s="6"/>
      <c r="O417" s="6"/>
      <c r="P417" s="3"/>
      <c r="Q417" s="3"/>
      <c r="R417" s="3"/>
      <c r="S417" s="3"/>
    </row>
    <row r="418" spans="2:19" s="2" customFormat="1" hidden="1" x14ac:dyDescent="0.25">
      <c r="B418">
        <v>10884</v>
      </c>
      <c r="C418" t="s">
        <v>163</v>
      </c>
      <c r="D418" s="6">
        <v>43143</v>
      </c>
      <c r="E418" s="6">
        <v>43171</v>
      </c>
      <c r="F418" s="6">
        <v>43144</v>
      </c>
      <c r="G418" s="3" t="s">
        <v>645</v>
      </c>
      <c r="H418" s="3">
        <v>454.85</v>
      </c>
      <c r="I418" s="3" t="s">
        <v>13</v>
      </c>
      <c r="J418" s="3" t="str">
        <f t="shared" si="6"/>
        <v>Feb</v>
      </c>
      <c r="K418"/>
      <c r="L418"/>
      <c r="M418" s="6"/>
      <c r="N418" s="6"/>
      <c r="O418" s="6"/>
      <c r="P418" s="3"/>
      <c r="Q418" s="3"/>
      <c r="R418" s="3"/>
      <c r="S418" s="3"/>
    </row>
    <row r="419" spans="2:19" s="2" customFormat="1" hidden="1" x14ac:dyDescent="0.25">
      <c r="B419">
        <v>10283</v>
      </c>
      <c r="C419" t="s">
        <v>166</v>
      </c>
      <c r="D419" s="6">
        <v>42598</v>
      </c>
      <c r="E419" s="6">
        <v>42626</v>
      </c>
      <c r="F419" s="6">
        <v>42605</v>
      </c>
      <c r="G419" s="3" t="s">
        <v>646</v>
      </c>
      <c r="H419" s="3">
        <v>424.05</v>
      </c>
      <c r="I419" s="3" t="s">
        <v>355</v>
      </c>
      <c r="J419" s="3" t="str">
        <f t="shared" si="6"/>
        <v>Aug</v>
      </c>
      <c r="K419"/>
      <c r="L419"/>
      <c r="M419" s="6"/>
      <c r="N419" s="6"/>
      <c r="O419" s="6"/>
      <c r="P419" s="3"/>
      <c r="Q419" s="3"/>
      <c r="R419" s="3"/>
      <c r="S419" s="3"/>
    </row>
    <row r="420" spans="2:19" s="2" customFormat="1" hidden="1" x14ac:dyDescent="0.25">
      <c r="B420">
        <v>10296</v>
      </c>
      <c r="C420" t="s">
        <v>166</v>
      </c>
      <c r="D420" s="6">
        <v>42616</v>
      </c>
      <c r="E420" s="6">
        <v>42644</v>
      </c>
      <c r="F420" s="6">
        <v>42624</v>
      </c>
      <c r="G420" s="3" t="s">
        <v>644</v>
      </c>
      <c r="H420" s="3">
        <v>0.6</v>
      </c>
      <c r="I420" s="3" t="s">
        <v>355</v>
      </c>
      <c r="J420" s="3" t="str">
        <f t="shared" si="6"/>
        <v>Sep</v>
      </c>
      <c r="K420"/>
      <c r="L420"/>
      <c r="M420" s="6"/>
      <c r="N420" s="6"/>
      <c r="O420" s="6"/>
      <c r="P420" s="3"/>
      <c r="Q420" s="3"/>
      <c r="R420" s="3"/>
      <c r="S420" s="3"/>
    </row>
    <row r="421" spans="2:19" s="2" customFormat="1" hidden="1" x14ac:dyDescent="0.25">
      <c r="B421">
        <v>10330</v>
      </c>
      <c r="C421" t="s">
        <v>166</v>
      </c>
      <c r="D421" s="6">
        <v>42659</v>
      </c>
      <c r="E421" s="6">
        <v>42687</v>
      </c>
      <c r="F421" s="6">
        <v>42671</v>
      </c>
      <c r="G421" s="3" t="s">
        <v>644</v>
      </c>
      <c r="H421" s="3">
        <v>63.75</v>
      </c>
      <c r="I421" s="3" t="s">
        <v>355</v>
      </c>
      <c r="J421" s="3" t="str">
        <f t="shared" si="6"/>
        <v>Oct</v>
      </c>
      <c r="K421"/>
      <c r="L421"/>
      <c r="M421" s="6"/>
      <c r="N421" s="6"/>
      <c r="O421" s="6"/>
      <c r="P421" s="3"/>
      <c r="Q421" s="3"/>
      <c r="R421" s="3"/>
      <c r="S421" s="3"/>
    </row>
    <row r="422" spans="2:19" s="2" customFormat="1" hidden="1" x14ac:dyDescent="0.25">
      <c r="B422">
        <v>10357</v>
      </c>
      <c r="C422" t="s">
        <v>166</v>
      </c>
      <c r="D422" s="6">
        <v>42693</v>
      </c>
      <c r="E422" s="6">
        <v>42721</v>
      </c>
      <c r="F422" s="6">
        <v>42706</v>
      </c>
      <c r="G422" s="3" t="s">
        <v>646</v>
      </c>
      <c r="H422" s="3">
        <v>174.4</v>
      </c>
      <c r="I422" s="3" t="s">
        <v>355</v>
      </c>
      <c r="J422" s="3" t="str">
        <f t="shared" si="6"/>
        <v>Nov</v>
      </c>
      <c r="K422"/>
      <c r="L422"/>
      <c r="M422" s="6"/>
      <c r="N422" s="6"/>
      <c r="O422" s="6"/>
      <c r="P422" s="3"/>
      <c r="Q422" s="3"/>
      <c r="R422" s="3"/>
      <c r="S422" s="3"/>
    </row>
    <row r="423" spans="2:19" s="2" customFormat="1" hidden="1" x14ac:dyDescent="0.25">
      <c r="B423">
        <v>10381</v>
      </c>
      <c r="C423" t="s">
        <v>166</v>
      </c>
      <c r="D423" s="6">
        <v>42716</v>
      </c>
      <c r="E423" s="6">
        <v>42744</v>
      </c>
      <c r="F423" s="6">
        <v>42717</v>
      </c>
      <c r="G423" s="3" t="s">
        <v>646</v>
      </c>
      <c r="H423" s="3">
        <v>39.950000000000003</v>
      </c>
      <c r="I423" s="3" t="s">
        <v>355</v>
      </c>
      <c r="J423" s="3" t="str">
        <f t="shared" si="6"/>
        <v>Dec</v>
      </c>
      <c r="K423"/>
      <c r="L423"/>
      <c r="M423" s="6"/>
      <c r="N423" s="6"/>
      <c r="O423" s="6"/>
      <c r="P423" s="3"/>
      <c r="Q423" s="3"/>
      <c r="R423" s="3"/>
      <c r="S423" s="3"/>
    </row>
    <row r="424" spans="2:19" s="2" customFormat="1" hidden="1" x14ac:dyDescent="0.25">
      <c r="B424">
        <v>10461</v>
      </c>
      <c r="C424" t="s">
        <v>166</v>
      </c>
      <c r="D424" s="6">
        <v>42794</v>
      </c>
      <c r="E424" s="6">
        <v>42822</v>
      </c>
      <c r="F424" s="6">
        <v>42799</v>
      </c>
      <c r="G424" s="3" t="s">
        <v>646</v>
      </c>
      <c r="H424" s="3">
        <v>743.05000000000007</v>
      </c>
      <c r="I424" s="3" t="s">
        <v>355</v>
      </c>
      <c r="J424" s="3" t="str">
        <f t="shared" si="6"/>
        <v>Feb</v>
      </c>
      <c r="K424"/>
      <c r="L424"/>
      <c r="M424" s="6"/>
      <c r="N424" s="6"/>
      <c r="O424" s="6"/>
      <c r="P424" s="3"/>
      <c r="Q424" s="3"/>
      <c r="R424" s="3"/>
      <c r="S424" s="3"/>
    </row>
    <row r="425" spans="2:19" s="2" customFormat="1" hidden="1" x14ac:dyDescent="0.25">
      <c r="B425">
        <v>10499</v>
      </c>
      <c r="C425" t="s">
        <v>166</v>
      </c>
      <c r="D425" s="6">
        <v>42833</v>
      </c>
      <c r="E425" s="6">
        <v>42861</v>
      </c>
      <c r="F425" s="6">
        <v>42841</v>
      </c>
      <c r="G425" s="3" t="s">
        <v>645</v>
      </c>
      <c r="H425" s="3">
        <v>510.09999999999997</v>
      </c>
      <c r="I425" s="3" t="s">
        <v>355</v>
      </c>
      <c r="J425" s="3" t="str">
        <f t="shared" si="6"/>
        <v>Apr</v>
      </c>
      <c r="K425"/>
      <c r="L425"/>
      <c r="M425" s="6"/>
      <c r="N425" s="6"/>
      <c r="O425" s="6"/>
      <c r="P425" s="3"/>
      <c r="Q425" s="3"/>
      <c r="R425" s="3"/>
      <c r="S425" s="3"/>
    </row>
    <row r="426" spans="2:19" s="2" customFormat="1" hidden="1" x14ac:dyDescent="0.25">
      <c r="B426">
        <v>10543</v>
      </c>
      <c r="C426" t="s">
        <v>166</v>
      </c>
      <c r="D426" s="6">
        <v>42876</v>
      </c>
      <c r="E426" s="6">
        <v>42904</v>
      </c>
      <c r="F426" s="6">
        <v>42878</v>
      </c>
      <c r="G426" s="3" t="s">
        <v>645</v>
      </c>
      <c r="H426" s="3">
        <v>240.85000000000002</v>
      </c>
      <c r="I426" s="3" t="s">
        <v>355</v>
      </c>
      <c r="J426" s="3" t="str">
        <f t="shared" si="6"/>
        <v>May</v>
      </c>
      <c r="K426"/>
      <c r="L426"/>
      <c r="M426" s="6"/>
      <c r="N426" s="6"/>
      <c r="O426" s="6"/>
      <c r="P426" s="3"/>
      <c r="Q426" s="3"/>
      <c r="R426" s="3"/>
      <c r="S426" s="3"/>
    </row>
    <row r="427" spans="2:19" s="2" customFormat="1" hidden="1" x14ac:dyDescent="0.25">
      <c r="B427">
        <v>10780</v>
      </c>
      <c r="C427" t="s">
        <v>166</v>
      </c>
      <c r="D427" s="6">
        <v>43085</v>
      </c>
      <c r="E427" s="6">
        <v>43099</v>
      </c>
      <c r="F427" s="6">
        <v>43094</v>
      </c>
      <c r="G427" s="3" t="s">
        <v>644</v>
      </c>
      <c r="H427" s="3">
        <v>210.65</v>
      </c>
      <c r="I427" s="3" t="s">
        <v>355</v>
      </c>
      <c r="J427" s="3" t="str">
        <f t="shared" si="6"/>
        <v>Dec</v>
      </c>
      <c r="K427"/>
      <c r="L427"/>
      <c r="M427" s="6"/>
      <c r="N427" s="6"/>
      <c r="O427" s="6"/>
      <c r="P427" s="3"/>
      <c r="Q427" s="3"/>
      <c r="R427" s="3"/>
      <c r="S427" s="3"/>
    </row>
    <row r="428" spans="2:19" s="2" customFormat="1" hidden="1" x14ac:dyDescent="0.25">
      <c r="B428">
        <v>10823</v>
      </c>
      <c r="C428" t="s">
        <v>166</v>
      </c>
      <c r="D428" s="6">
        <v>43109</v>
      </c>
      <c r="E428" s="6">
        <v>43137</v>
      </c>
      <c r="F428" s="6">
        <v>43113</v>
      </c>
      <c r="G428" s="3" t="s">
        <v>645</v>
      </c>
      <c r="H428" s="3">
        <v>819.85</v>
      </c>
      <c r="I428" s="3" t="s">
        <v>355</v>
      </c>
      <c r="J428" s="3" t="str">
        <f t="shared" si="6"/>
        <v>Jan</v>
      </c>
      <c r="K428"/>
      <c r="L428"/>
      <c r="M428" s="6"/>
      <c r="N428" s="6"/>
      <c r="O428" s="6"/>
      <c r="P428" s="3"/>
      <c r="Q428" s="3"/>
      <c r="R428" s="3"/>
      <c r="S428" s="3"/>
    </row>
    <row r="429" spans="2:19" s="2" customFormat="1" hidden="1" x14ac:dyDescent="0.25">
      <c r="B429">
        <v>10899</v>
      </c>
      <c r="C429" t="s">
        <v>166</v>
      </c>
      <c r="D429" s="6">
        <v>43151</v>
      </c>
      <c r="E429" s="6">
        <v>43179</v>
      </c>
      <c r="F429" s="6">
        <v>43157</v>
      </c>
      <c r="G429" s="3" t="s">
        <v>646</v>
      </c>
      <c r="H429" s="3">
        <v>6.05</v>
      </c>
      <c r="I429" s="3" t="s">
        <v>355</v>
      </c>
      <c r="J429" s="3" t="str">
        <f t="shared" si="6"/>
        <v>Feb</v>
      </c>
      <c r="K429"/>
      <c r="L429"/>
      <c r="M429" s="6"/>
      <c r="N429" s="6"/>
      <c r="O429" s="6"/>
      <c r="P429" s="3"/>
      <c r="Q429" s="3"/>
      <c r="R429" s="3"/>
      <c r="S429" s="3"/>
    </row>
    <row r="430" spans="2:19" s="2" customFormat="1" hidden="1" x14ac:dyDescent="0.25">
      <c r="B430">
        <v>10997</v>
      </c>
      <c r="C430" t="s">
        <v>166</v>
      </c>
      <c r="D430" s="6">
        <v>43193</v>
      </c>
      <c r="E430" s="6">
        <v>43235</v>
      </c>
      <c r="F430" s="6">
        <v>43203</v>
      </c>
      <c r="G430" s="3" t="s">
        <v>645</v>
      </c>
      <c r="H430" s="3">
        <v>369.54999999999995</v>
      </c>
      <c r="I430" s="3" t="s">
        <v>355</v>
      </c>
      <c r="J430" s="3" t="str">
        <f t="shared" si="6"/>
        <v>Apr</v>
      </c>
      <c r="K430"/>
      <c r="L430"/>
      <c r="M430" s="6"/>
      <c r="N430" s="6"/>
      <c r="O430" s="6"/>
      <c r="P430" s="3"/>
      <c r="Q430" s="3"/>
      <c r="R430" s="3"/>
      <c r="S430" s="3"/>
    </row>
    <row r="431" spans="2:19" s="2" customFormat="1" hidden="1" x14ac:dyDescent="0.25">
      <c r="B431">
        <v>11065</v>
      </c>
      <c r="C431" t="s">
        <v>166</v>
      </c>
      <c r="D431" s="6">
        <v>43221</v>
      </c>
      <c r="E431" s="6">
        <v>43249</v>
      </c>
      <c r="F431" s="6"/>
      <c r="G431" s="3" t="s">
        <v>644</v>
      </c>
      <c r="H431" s="3">
        <v>64.55</v>
      </c>
      <c r="I431" s="3" t="s">
        <v>355</v>
      </c>
      <c r="J431" s="3" t="str">
        <f t="shared" si="6"/>
        <v>May</v>
      </c>
      <c r="K431"/>
      <c r="L431"/>
      <c r="M431" s="6"/>
      <c r="N431" s="6"/>
      <c r="O431" s="6"/>
      <c r="P431" s="3"/>
      <c r="Q431" s="3"/>
      <c r="R431" s="3"/>
      <c r="S431" s="3"/>
    </row>
    <row r="432" spans="2:19" s="2" customFormat="1" hidden="1" x14ac:dyDescent="0.25">
      <c r="B432">
        <v>11071</v>
      </c>
      <c r="C432" t="s">
        <v>166</v>
      </c>
      <c r="D432" s="6">
        <v>43225</v>
      </c>
      <c r="E432" s="6">
        <v>43253</v>
      </c>
      <c r="F432" s="6"/>
      <c r="G432" s="3" t="s">
        <v>644</v>
      </c>
      <c r="H432" s="3">
        <v>4.6500000000000004</v>
      </c>
      <c r="I432" s="3" t="s">
        <v>355</v>
      </c>
      <c r="J432" s="3" t="str">
        <f t="shared" si="6"/>
        <v>May</v>
      </c>
      <c r="K432"/>
      <c r="L432"/>
      <c r="M432" s="6"/>
      <c r="N432" s="6"/>
      <c r="O432" s="6"/>
      <c r="P432" s="3"/>
      <c r="Q432" s="3"/>
      <c r="R432" s="3"/>
      <c r="S432" s="3"/>
    </row>
    <row r="433" spans="2:19" s="2" customFormat="1" hidden="1" x14ac:dyDescent="0.25">
      <c r="B433">
        <v>10405</v>
      </c>
      <c r="C433" t="s">
        <v>169</v>
      </c>
      <c r="D433" s="6">
        <v>42741</v>
      </c>
      <c r="E433" s="6">
        <v>42769</v>
      </c>
      <c r="F433" s="6">
        <v>42757</v>
      </c>
      <c r="G433" s="3" t="s">
        <v>644</v>
      </c>
      <c r="H433" s="3">
        <v>174.1</v>
      </c>
      <c r="I433" s="3" t="s">
        <v>356</v>
      </c>
      <c r="J433" s="3" t="str">
        <f t="shared" si="6"/>
        <v>Jan</v>
      </c>
      <c r="K433"/>
      <c r="L433"/>
      <c r="M433" s="6"/>
      <c r="N433" s="6"/>
      <c r="O433" s="6"/>
      <c r="P433" s="3"/>
      <c r="Q433" s="3"/>
      <c r="R433" s="3"/>
      <c r="S433" s="3"/>
    </row>
    <row r="434" spans="2:19" s="2" customFormat="1" hidden="1" x14ac:dyDescent="0.25">
      <c r="B434">
        <v>10485</v>
      </c>
      <c r="C434" t="s">
        <v>169</v>
      </c>
      <c r="D434" s="6">
        <v>42819</v>
      </c>
      <c r="E434" s="6">
        <v>42833</v>
      </c>
      <c r="F434" s="6">
        <v>42825</v>
      </c>
      <c r="G434" s="3" t="s">
        <v>645</v>
      </c>
      <c r="H434" s="3">
        <v>322.25</v>
      </c>
      <c r="I434" s="3" t="s">
        <v>356</v>
      </c>
      <c r="J434" s="3" t="str">
        <f t="shared" si="6"/>
        <v>Mar</v>
      </c>
      <c r="K434"/>
      <c r="L434"/>
      <c r="M434" s="6"/>
      <c r="N434" s="6"/>
      <c r="O434" s="6"/>
      <c r="P434" s="3"/>
      <c r="Q434" s="3"/>
      <c r="R434" s="3"/>
      <c r="S434" s="3"/>
    </row>
    <row r="435" spans="2:19" s="2" customFormat="1" hidden="1" x14ac:dyDescent="0.25">
      <c r="B435">
        <v>10638</v>
      </c>
      <c r="C435" t="s">
        <v>169</v>
      </c>
      <c r="D435" s="6">
        <v>42967</v>
      </c>
      <c r="E435" s="6">
        <v>42995</v>
      </c>
      <c r="F435" s="6">
        <v>42979</v>
      </c>
      <c r="G435" s="3" t="s">
        <v>644</v>
      </c>
      <c r="H435" s="3">
        <v>792.2</v>
      </c>
      <c r="I435" s="3" t="s">
        <v>356</v>
      </c>
      <c r="J435" s="3" t="str">
        <f t="shared" si="6"/>
        <v>Aug</v>
      </c>
      <c r="K435"/>
      <c r="L435"/>
      <c r="M435" s="6"/>
      <c r="N435" s="6"/>
      <c r="O435" s="6"/>
      <c r="P435" s="3"/>
      <c r="Q435" s="3"/>
      <c r="R435" s="3"/>
      <c r="S435" s="3"/>
    </row>
    <row r="436" spans="2:19" s="2" customFormat="1" hidden="1" x14ac:dyDescent="0.25">
      <c r="B436">
        <v>10697</v>
      </c>
      <c r="C436" t="s">
        <v>169</v>
      </c>
      <c r="D436" s="6">
        <v>43016</v>
      </c>
      <c r="E436" s="6">
        <v>43044</v>
      </c>
      <c r="F436" s="6">
        <v>43022</v>
      </c>
      <c r="G436" s="3" t="s">
        <v>644</v>
      </c>
      <c r="H436" s="3">
        <v>227.60000000000002</v>
      </c>
      <c r="I436" s="3" t="s">
        <v>356</v>
      </c>
      <c r="J436" s="3" t="str">
        <f t="shared" si="6"/>
        <v>Oct</v>
      </c>
      <c r="K436"/>
      <c r="L436"/>
      <c r="M436" s="6"/>
      <c r="N436" s="6"/>
      <c r="O436" s="6"/>
      <c r="P436" s="3"/>
      <c r="Q436" s="3"/>
      <c r="R436" s="3"/>
      <c r="S436" s="3"/>
    </row>
    <row r="437" spans="2:19" s="2" customFormat="1" hidden="1" x14ac:dyDescent="0.25">
      <c r="B437">
        <v>10729</v>
      </c>
      <c r="C437" t="s">
        <v>169</v>
      </c>
      <c r="D437" s="6">
        <v>43043</v>
      </c>
      <c r="E437" s="6">
        <v>43085</v>
      </c>
      <c r="F437" s="6">
        <v>43053</v>
      </c>
      <c r="G437" s="3" t="s">
        <v>646</v>
      </c>
      <c r="H437" s="3">
        <v>705.3</v>
      </c>
      <c r="I437" s="3" t="s">
        <v>356</v>
      </c>
      <c r="J437" s="3" t="str">
        <f t="shared" si="6"/>
        <v>Nov</v>
      </c>
      <c r="K437"/>
      <c r="L437"/>
      <c r="M437" s="6"/>
      <c r="N437" s="6"/>
      <c r="O437" s="6"/>
      <c r="P437" s="3"/>
      <c r="Q437" s="3"/>
      <c r="R437" s="3"/>
      <c r="S437" s="3"/>
    </row>
    <row r="438" spans="2:19" s="2" customFormat="1" hidden="1" x14ac:dyDescent="0.25">
      <c r="B438">
        <v>10811</v>
      </c>
      <c r="C438" t="s">
        <v>169</v>
      </c>
      <c r="D438" s="6">
        <v>43102</v>
      </c>
      <c r="E438" s="6">
        <v>43130</v>
      </c>
      <c r="F438" s="6">
        <v>43108</v>
      </c>
      <c r="G438" s="3" t="s">
        <v>644</v>
      </c>
      <c r="H438" s="3">
        <v>156.1</v>
      </c>
      <c r="I438" s="3" t="s">
        <v>356</v>
      </c>
      <c r="J438" s="3" t="str">
        <f t="shared" si="6"/>
        <v>Jan</v>
      </c>
      <c r="K438"/>
      <c r="L438"/>
      <c r="M438" s="6"/>
      <c r="N438" s="6"/>
      <c r="O438" s="6"/>
      <c r="P438" s="3"/>
      <c r="Q438" s="3"/>
      <c r="R438" s="3"/>
      <c r="S438" s="3"/>
    </row>
    <row r="439" spans="2:19" s="2" customFormat="1" hidden="1" x14ac:dyDescent="0.25">
      <c r="B439">
        <v>10838</v>
      </c>
      <c r="C439" t="s">
        <v>169</v>
      </c>
      <c r="D439" s="6">
        <v>43119</v>
      </c>
      <c r="E439" s="6">
        <v>43147</v>
      </c>
      <c r="F439" s="6">
        <v>43123</v>
      </c>
      <c r="G439" s="3" t="s">
        <v>646</v>
      </c>
      <c r="H439" s="3">
        <v>296.39999999999998</v>
      </c>
      <c r="I439" s="3" t="s">
        <v>356</v>
      </c>
      <c r="J439" s="3" t="str">
        <f t="shared" si="6"/>
        <v>Jan</v>
      </c>
      <c r="K439"/>
      <c r="L439"/>
      <c r="M439" s="6"/>
      <c r="N439" s="6"/>
      <c r="O439" s="6"/>
      <c r="P439" s="3"/>
      <c r="Q439" s="3"/>
      <c r="R439" s="3"/>
      <c r="S439" s="3"/>
    </row>
    <row r="440" spans="2:19" s="2" customFormat="1" hidden="1" x14ac:dyDescent="0.25">
      <c r="B440">
        <v>10840</v>
      </c>
      <c r="C440" t="s">
        <v>169</v>
      </c>
      <c r="D440" s="6">
        <v>43119</v>
      </c>
      <c r="E440" s="6">
        <v>43161</v>
      </c>
      <c r="F440" s="6">
        <v>43147</v>
      </c>
      <c r="G440" s="3" t="s">
        <v>645</v>
      </c>
      <c r="H440" s="3">
        <v>13.55</v>
      </c>
      <c r="I440" s="3" t="s">
        <v>356</v>
      </c>
      <c r="J440" s="3" t="str">
        <f t="shared" si="6"/>
        <v>Jan</v>
      </c>
      <c r="K440"/>
      <c r="L440"/>
      <c r="M440" s="6"/>
      <c r="N440" s="6"/>
      <c r="O440" s="6"/>
      <c r="P440" s="3"/>
      <c r="Q440" s="3"/>
      <c r="R440" s="3"/>
      <c r="S440" s="3"/>
    </row>
    <row r="441" spans="2:19" s="2" customFormat="1" hidden="1" x14ac:dyDescent="0.25">
      <c r="B441">
        <v>10919</v>
      </c>
      <c r="C441" t="s">
        <v>169</v>
      </c>
      <c r="D441" s="6">
        <v>43161</v>
      </c>
      <c r="E441" s="6">
        <v>43189</v>
      </c>
      <c r="F441" s="6">
        <v>43163</v>
      </c>
      <c r="G441" s="3" t="s">
        <v>645</v>
      </c>
      <c r="H441" s="3">
        <v>99</v>
      </c>
      <c r="I441" s="3" t="s">
        <v>356</v>
      </c>
      <c r="J441" s="3" t="str">
        <f t="shared" si="6"/>
        <v>Mar</v>
      </c>
      <c r="K441"/>
      <c r="L441"/>
      <c r="M441" s="6"/>
      <c r="N441" s="6"/>
      <c r="O441" s="6"/>
      <c r="P441" s="3"/>
      <c r="Q441" s="3"/>
      <c r="R441" s="3"/>
      <c r="S441" s="3"/>
    </row>
    <row r="442" spans="2:19" s="2" customFormat="1" hidden="1" x14ac:dyDescent="0.25">
      <c r="B442">
        <v>10954</v>
      </c>
      <c r="C442" t="s">
        <v>169</v>
      </c>
      <c r="D442" s="6">
        <v>43176</v>
      </c>
      <c r="E442" s="6">
        <v>43218</v>
      </c>
      <c r="F442" s="6">
        <v>43179</v>
      </c>
      <c r="G442" s="3" t="s">
        <v>644</v>
      </c>
      <c r="H442" s="3">
        <v>139.55000000000001</v>
      </c>
      <c r="I442" s="3" t="s">
        <v>356</v>
      </c>
      <c r="J442" s="3" t="str">
        <f t="shared" si="6"/>
        <v>Mar</v>
      </c>
      <c r="K442"/>
      <c r="L442"/>
      <c r="M442" s="6"/>
      <c r="N442" s="6"/>
      <c r="O442" s="6"/>
      <c r="P442" s="3"/>
      <c r="Q442" s="3"/>
      <c r="R442" s="3"/>
      <c r="S442" s="3"/>
    </row>
    <row r="443" spans="2:19" s="2" customFormat="1" hidden="1" x14ac:dyDescent="0.25">
      <c r="B443">
        <v>11014</v>
      </c>
      <c r="C443" t="s">
        <v>169</v>
      </c>
      <c r="D443" s="6">
        <v>43200</v>
      </c>
      <c r="E443" s="6">
        <v>43228</v>
      </c>
      <c r="F443" s="6">
        <v>43205</v>
      </c>
      <c r="G443" s="3" t="s">
        <v>646</v>
      </c>
      <c r="H443" s="3">
        <v>118</v>
      </c>
      <c r="I443" s="3" t="s">
        <v>356</v>
      </c>
      <c r="J443" s="3" t="str">
        <f t="shared" si="6"/>
        <v>Apr</v>
      </c>
      <c r="K443"/>
      <c r="L443"/>
      <c r="M443" s="6"/>
      <c r="N443" s="6"/>
      <c r="O443" s="6"/>
      <c r="P443" s="3"/>
      <c r="Q443" s="3"/>
      <c r="R443" s="3"/>
      <c r="S443" s="3"/>
    </row>
    <row r="444" spans="2:19" s="2" customFormat="1" hidden="1" x14ac:dyDescent="0.25">
      <c r="B444">
        <v>11039</v>
      </c>
      <c r="C444" t="s">
        <v>169</v>
      </c>
      <c r="D444" s="6">
        <v>43211</v>
      </c>
      <c r="E444" s="6">
        <v>43239</v>
      </c>
      <c r="F444" s="6"/>
      <c r="G444" s="3" t="s">
        <v>645</v>
      </c>
      <c r="H444" s="3">
        <v>325</v>
      </c>
      <c r="I444" s="3" t="s">
        <v>356</v>
      </c>
      <c r="J444" s="3" t="str">
        <f t="shared" si="6"/>
        <v>Apr</v>
      </c>
      <c r="K444"/>
      <c r="L444"/>
      <c r="M444" s="6"/>
      <c r="N444" s="6"/>
      <c r="O444" s="6"/>
      <c r="P444" s="3"/>
      <c r="Q444" s="3"/>
      <c r="R444" s="3"/>
      <c r="S444" s="3"/>
    </row>
    <row r="445" spans="2:19" s="2" customFormat="1" hidden="1" x14ac:dyDescent="0.25">
      <c r="B445">
        <v>10307</v>
      </c>
      <c r="C445" t="s">
        <v>172</v>
      </c>
      <c r="D445" s="6">
        <v>42630</v>
      </c>
      <c r="E445" s="6">
        <v>42658</v>
      </c>
      <c r="F445" s="6">
        <v>42638</v>
      </c>
      <c r="G445" s="3" t="s">
        <v>645</v>
      </c>
      <c r="H445" s="3">
        <v>2.8000000000000003</v>
      </c>
      <c r="I445" s="3" t="s">
        <v>357</v>
      </c>
      <c r="J445" s="3" t="str">
        <f t="shared" si="6"/>
        <v>Sep</v>
      </c>
      <c r="K445"/>
      <c r="L445"/>
      <c r="M445" s="6"/>
      <c r="N445" s="6"/>
      <c r="O445" s="6"/>
      <c r="P445" s="3"/>
      <c r="Q445" s="3"/>
      <c r="R445" s="3"/>
      <c r="S445" s="3"/>
    </row>
    <row r="446" spans="2:19" s="2" customFormat="1" hidden="1" x14ac:dyDescent="0.25">
      <c r="B446">
        <v>10317</v>
      </c>
      <c r="C446" t="s">
        <v>172</v>
      </c>
      <c r="D446" s="6">
        <v>42643</v>
      </c>
      <c r="E446" s="6">
        <v>42671</v>
      </c>
      <c r="F446" s="6">
        <v>42653</v>
      </c>
      <c r="G446" s="3" t="s">
        <v>644</v>
      </c>
      <c r="H446" s="3">
        <v>63.449999999999996</v>
      </c>
      <c r="I446" s="3" t="s">
        <v>357</v>
      </c>
      <c r="J446" s="3" t="str">
        <f t="shared" si="6"/>
        <v>Sep</v>
      </c>
      <c r="K446"/>
      <c r="L446"/>
      <c r="M446" s="6"/>
      <c r="N446" s="6"/>
      <c r="O446" s="6"/>
      <c r="P446" s="3"/>
      <c r="Q446" s="3"/>
      <c r="R446" s="3"/>
      <c r="S446" s="3"/>
    </row>
    <row r="447" spans="2:19" s="2" customFormat="1" hidden="1" x14ac:dyDescent="0.25">
      <c r="B447">
        <v>10544</v>
      </c>
      <c r="C447" t="s">
        <v>172</v>
      </c>
      <c r="D447" s="6">
        <v>42876</v>
      </c>
      <c r="E447" s="6">
        <v>42904</v>
      </c>
      <c r="F447" s="6">
        <v>42885</v>
      </c>
      <c r="G447" s="3" t="s">
        <v>644</v>
      </c>
      <c r="H447" s="3">
        <v>124.55</v>
      </c>
      <c r="I447" s="3" t="s">
        <v>357</v>
      </c>
      <c r="J447" s="3" t="str">
        <f t="shared" si="6"/>
        <v>May</v>
      </c>
      <c r="K447"/>
      <c r="L447"/>
      <c r="M447" s="6"/>
      <c r="N447" s="6"/>
      <c r="O447" s="6"/>
      <c r="P447" s="3"/>
      <c r="Q447" s="3"/>
      <c r="R447" s="3"/>
      <c r="S447" s="3"/>
    </row>
    <row r="448" spans="2:19" s="2" customFormat="1" hidden="1" x14ac:dyDescent="0.25">
      <c r="B448">
        <v>10662</v>
      </c>
      <c r="C448" t="s">
        <v>172</v>
      </c>
      <c r="D448" s="6">
        <v>42987</v>
      </c>
      <c r="E448" s="6">
        <v>43015</v>
      </c>
      <c r="F448" s="6">
        <v>42996</v>
      </c>
      <c r="G448" s="3" t="s">
        <v>645</v>
      </c>
      <c r="H448" s="3">
        <v>6.4</v>
      </c>
      <c r="I448" s="3" t="s">
        <v>357</v>
      </c>
      <c r="J448" s="3" t="str">
        <f t="shared" si="6"/>
        <v>Sep</v>
      </c>
      <c r="K448"/>
      <c r="L448"/>
      <c r="M448" s="6"/>
      <c r="N448" s="6"/>
      <c r="O448" s="6"/>
      <c r="P448" s="3"/>
      <c r="Q448" s="3"/>
      <c r="R448" s="3"/>
      <c r="S448" s="3"/>
    </row>
    <row r="449" spans="2:19" s="2" customFormat="1" hidden="1" x14ac:dyDescent="0.25">
      <c r="B449">
        <v>10665</v>
      </c>
      <c r="C449" t="s">
        <v>172</v>
      </c>
      <c r="D449" s="6">
        <v>42989</v>
      </c>
      <c r="E449" s="6">
        <v>43017</v>
      </c>
      <c r="F449" s="6">
        <v>42995</v>
      </c>
      <c r="G449" s="3" t="s">
        <v>645</v>
      </c>
      <c r="H449" s="3">
        <v>131.54999999999998</v>
      </c>
      <c r="I449" s="3" t="s">
        <v>357</v>
      </c>
      <c r="J449" s="3" t="str">
        <f t="shared" si="6"/>
        <v>Sep</v>
      </c>
      <c r="K449"/>
      <c r="L449"/>
      <c r="M449" s="6"/>
      <c r="N449" s="6"/>
      <c r="O449" s="6"/>
      <c r="P449" s="3"/>
      <c r="Q449" s="3"/>
      <c r="R449" s="3"/>
      <c r="S449" s="3"/>
    </row>
    <row r="450" spans="2:19" s="2" customFormat="1" hidden="1" x14ac:dyDescent="0.25">
      <c r="B450">
        <v>10867</v>
      </c>
      <c r="C450" t="s">
        <v>172</v>
      </c>
      <c r="D450" s="6">
        <v>43134</v>
      </c>
      <c r="E450" s="6">
        <v>43176</v>
      </c>
      <c r="F450" s="6">
        <v>43142</v>
      </c>
      <c r="G450" s="3" t="s">
        <v>644</v>
      </c>
      <c r="H450" s="3">
        <v>9.65</v>
      </c>
      <c r="I450" s="3" t="s">
        <v>357</v>
      </c>
      <c r="J450" s="3" t="str">
        <f t="shared" si="6"/>
        <v>Feb</v>
      </c>
      <c r="K450"/>
      <c r="L450"/>
      <c r="M450" s="6"/>
      <c r="N450" s="6"/>
      <c r="O450" s="6"/>
      <c r="P450" s="3"/>
      <c r="Q450" s="3"/>
      <c r="R450" s="3"/>
      <c r="S450" s="3"/>
    </row>
    <row r="451" spans="2:19" s="2" customFormat="1" hidden="1" x14ac:dyDescent="0.25">
      <c r="B451">
        <v>10883</v>
      </c>
      <c r="C451" t="s">
        <v>172</v>
      </c>
      <c r="D451" s="6">
        <v>43143</v>
      </c>
      <c r="E451" s="6">
        <v>43171</v>
      </c>
      <c r="F451" s="6">
        <v>43151</v>
      </c>
      <c r="G451" s="3" t="s">
        <v>646</v>
      </c>
      <c r="H451" s="3">
        <v>2.6500000000000004</v>
      </c>
      <c r="I451" s="3" t="s">
        <v>357</v>
      </c>
      <c r="J451" s="3" t="str">
        <f t="shared" si="6"/>
        <v>Feb</v>
      </c>
      <c r="K451"/>
      <c r="L451"/>
      <c r="M451" s="6"/>
      <c r="N451" s="6"/>
      <c r="O451" s="6"/>
      <c r="P451" s="3"/>
      <c r="Q451" s="3"/>
      <c r="R451" s="3"/>
      <c r="S451" s="3"/>
    </row>
    <row r="452" spans="2:19" s="2" customFormat="1" hidden="1" x14ac:dyDescent="0.25">
      <c r="B452">
        <v>11018</v>
      </c>
      <c r="C452" t="s">
        <v>172</v>
      </c>
      <c r="D452" s="6">
        <v>43203</v>
      </c>
      <c r="E452" s="6">
        <v>43231</v>
      </c>
      <c r="F452" s="6">
        <v>43206</v>
      </c>
      <c r="G452" s="3" t="s">
        <v>645</v>
      </c>
      <c r="H452" s="3">
        <v>58.25</v>
      </c>
      <c r="I452" s="3" t="s">
        <v>357</v>
      </c>
      <c r="J452" s="3" t="str">
        <f t="shared" si="6"/>
        <v>Apr</v>
      </c>
      <c r="K452"/>
      <c r="L452"/>
      <c r="M452" s="6"/>
      <c r="N452" s="6"/>
      <c r="O452" s="6"/>
      <c r="P452" s="3"/>
      <c r="Q452" s="3"/>
      <c r="R452" s="3"/>
      <c r="S452" s="3"/>
    </row>
    <row r="453" spans="2:19" s="2" customFormat="1" hidden="1" x14ac:dyDescent="0.25">
      <c r="B453">
        <v>10275</v>
      </c>
      <c r="C453" t="s">
        <v>175</v>
      </c>
      <c r="D453" s="6">
        <v>42589</v>
      </c>
      <c r="E453" s="6">
        <v>42617</v>
      </c>
      <c r="F453" s="6">
        <v>42591</v>
      </c>
      <c r="G453" s="3" t="s">
        <v>644</v>
      </c>
      <c r="H453" s="3">
        <v>134.65</v>
      </c>
      <c r="I453" s="3" t="s">
        <v>358</v>
      </c>
      <c r="J453" s="3" t="str">
        <f t="shared" si="6"/>
        <v>Aug</v>
      </c>
      <c r="K453"/>
      <c r="L453"/>
      <c r="M453" s="6"/>
      <c r="N453" s="6"/>
      <c r="O453" s="6"/>
      <c r="P453" s="3"/>
      <c r="Q453" s="3"/>
      <c r="R453" s="3"/>
      <c r="S453" s="3"/>
    </row>
    <row r="454" spans="2:19" s="2" customFormat="1" hidden="1" x14ac:dyDescent="0.25">
      <c r="B454">
        <v>10300</v>
      </c>
      <c r="C454" t="s">
        <v>175</v>
      </c>
      <c r="D454" s="6">
        <v>42622</v>
      </c>
      <c r="E454" s="6">
        <v>42650</v>
      </c>
      <c r="F454" s="6">
        <v>42631</v>
      </c>
      <c r="G454" s="3" t="s">
        <v>645</v>
      </c>
      <c r="H454" s="3">
        <v>88.4</v>
      </c>
      <c r="I454" s="3" t="s">
        <v>358</v>
      </c>
      <c r="J454" s="3" t="str">
        <f t="shared" si="6"/>
        <v>Sep</v>
      </c>
      <c r="K454"/>
      <c r="L454"/>
      <c r="M454" s="6"/>
      <c r="N454" s="6"/>
      <c r="O454" s="6"/>
      <c r="P454" s="3"/>
      <c r="Q454" s="3"/>
      <c r="R454" s="3"/>
      <c r="S454" s="3"/>
    </row>
    <row r="455" spans="2:19" s="2" customFormat="1" hidden="1" x14ac:dyDescent="0.25">
      <c r="B455">
        <v>10404</v>
      </c>
      <c r="C455" t="s">
        <v>175</v>
      </c>
      <c r="D455" s="6">
        <v>42738</v>
      </c>
      <c r="E455" s="6">
        <v>42766</v>
      </c>
      <c r="F455" s="6">
        <v>42743</v>
      </c>
      <c r="G455" s="3" t="s">
        <v>644</v>
      </c>
      <c r="H455" s="3">
        <v>779.85</v>
      </c>
      <c r="I455" s="3" t="s">
        <v>358</v>
      </c>
      <c r="J455" s="3" t="str">
        <f t="shared" si="6"/>
        <v>Jan</v>
      </c>
      <c r="K455"/>
      <c r="L455"/>
      <c r="M455" s="6"/>
      <c r="N455" s="6"/>
      <c r="O455" s="6"/>
      <c r="P455" s="3"/>
      <c r="Q455" s="3"/>
      <c r="R455" s="3"/>
      <c r="S455" s="3"/>
    </row>
    <row r="456" spans="2:19" s="2" customFormat="1" hidden="1" x14ac:dyDescent="0.25">
      <c r="B456">
        <v>10467</v>
      </c>
      <c r="C456" t="s">
        <v>175</v>
      </c>
      <c r="D456" s="6">
        <v>42800</v>
      </c>
      <c r="E456" s="6">
        <v>42828</v>
      </c>
      <c r="F456" s="6">
        <v>42805</v>
      </c>
      <c r="G456" s="3" t="s">
        <v>645</v>
      </c>
      <c r="H456" s="3">
        <v>24.65</v>
      </c>
      <c r="I456" s="3" t="s">
        <v>358</v>
      </c>
      <c r="J456" s="3" t="str">
        <f t="shared" si="6"/>
        <v>Mar</v>
      </c>
      <c r="K456"/>
      <c r="L456"/>
      <c r="M456" s="6"/>
      <c r="N456" s="6"/>
      <c r="O456" s="6"/>
      <c r="P456" s="3"/>
      <c r="Q456" s="3"/>
      <c r="R456" s="3"/>
      <c r="S456" s="3"/>
    </row>
    <row r="457" spans="2:19" s="2" customFormat="1" hidden="1" x14ac:dyDescent="0.25">
      <c r="B457">
        <v>10635</v>
      </c>
      <c r="C457" t="s">
        <v>175</v>
      </c>
      <c r="D457" s="6">
        <v>42965</v>
      </c>
      <c r="E457" s="6">
        <v>42993</v>
      </c>
      <c r="F457" s="6">
        <v>42968</v>
      </c>
      <c r="G457" s="3" t="s">
        <v>646</v>
      </c>
      <c r="H457" s="3">
        <v>237.3</v>
      </c>
      <c r="I457" s="3" t="s">
        <v>358</v>
      </c>
      <c r="J457" s="3" t="str">
        <f t="shared" si="6"/>
        <v>Aug</v>
      </c>
      <c r="K457"/>
      <c r="L457"/>
      <c r="M457" s="6"/>
      <c r="N457" s="6"/>
      <c r="O457" s="6"/>
      <c r="P457" s="3"/>
      <c r="Q457" s="3"/>
      <c r="R457" s="3"/>
      <c r="S457" s="3"/>
    </row>
    <row r="458" spans="2:19" s="2" customFormat="1" hidden="1" x14ac:dyDescent="0.25">
      <c r="B458">
        <v>10754</v>
      </c>
      <c r="C458" t="s">
        <v>175</v>
      </c>
      <c r="D458" s="6">
        <v>43064</v>
      </c>
      <c r="E458" s="6">
        <v>43092</v>
      </c>
      <c r="F458" s="6">
        <v>43066</v>
      </c>
      <c r="G458" s="3" t="s">
        <v>646</v>
      </c>
      <c r="H458" s="3">
        <v>11.899999999999999</v>
      </c>
      <c r="I458" s="3" t="s">
        <v>358</v>
      </c>
      <c r="J458" s="3" t="str">
        <f t="shared" si="6"/>
        <v>Nov</v>
      </c>
      <c r="K458"/>
      <c r="L458"/>
      <c r="M458" s="6"/>
      <c r="N458" s="6"/>
      <c r="O458" s="6"/>
      <c r="P458" s="3"/>
      <c r="Q458" s="3"/>
      <c r="R458" s="3"/>
      <c r="S458" s="3"/>
    </row>
    <row r="459" spans="2:19" s="2" customFormat="1" hidden="1" x14ac:dyDescent="0.25">
      <c r="B459">
        <v>10784</v>
      </c>
      <c r="C459" t="s">
        <v>175</v>
      </c>
      <c r="D459" s="6">
        <v>43087</v>
      </c>
      <c r="E459" s="6">
        <v>43115</v>
      </c>
      <c r="F459" s="6">
        <v>43091</v>
      </c>
      <c r="G459" s="3" t="s">
        <v>646</v>
      </c>
      <c r="H459" s="3">
        <v>350.45000000000005</v>
      </c>
      <c r="I459" s="3" t="s">
        <v>358</v>
      </c>
      <c r="J459" s="3" t="str">
        <f t="shared" si="6"/>
        <v>Dec</v>
      </c>
      <c r="K459"/>
      <c r="L459"/>
      <c r="M459" s="6"/>
      <c r="N459" s="6"/>
      <c r="O459" s="6"/>
      <c r="P459" s="3"/>
      <c r="Q459" s="3"/>
      <c r="R459" s="3"/>
      <c r="S459" s="3"/>
    </row>
    <row r="460" spans="2:19" s="2" customFormat="1" hidden="1" x14ac:dyDescent="0.25">
      <c r="B460">
        <v>10818</v>
      </c>
      <c r="C460" t="s">
        <v>175</v>
      </c>
      <c r="D460" s="6">
        <v>43107</v>
      </c>
      <c r="E460" s="6">
        <v>43135</v>
      </c>
      <c r="F460" s="6">
        <v>43112</v>
      </c>
      <c r="G460" s="3" t="s">
        <v>646</v>
      </c>
      <c r="H460" s="3">
        <v>327.40000000000003</v>
      </c>
      <c r="I460" s="3" t="s">
        <v>358</v>
      </c>
      <c r="J460" s="3" t="str">
        <f t="shared" si="6"/>
        <v>Jan</v>
      </c>
      <c r="K460"/>
      <c r="L460"/>
      <c r="M460" s="6"/>
      <c r="N460" s="6"/>
      <c r="O460" s="6"/>
      <c r="P460" s="3"/>
      <c r="Q460" s="3"/>
      <c r="R460" s="3"/>
      <c r="S460" s="3"/>
    </row>
    <row r="461" spans="2:19" s="2" customFormat="1" hidden="1" x14ac:dyDescent="0.25">
      <c r="B461">
        <v>10939</v>
      </c>
      <c r="C461" t="s">
        <v>175</v>
      </c>
      <c r="D461" s="6">
        <v>43169</v>
      </c>
      <c r="E461" s="6">
        <v>43197</v>
      </c>
      <c r="F461" s="6">
        <v>43172</v>
      </c>
      <c r="G461" s="3" t="s">
        <v>645</v>
      </c>
      <c r="H461" s="3">
        <v>381.65</v>
      </c>
      <c r="I461" s="3" t="s">
        <v>358</v>
      </c>
      <c r="J461" s="3" t="str">
        <f t="shared" si="6"/>
        <v>Mar</v>
      </c>
      <c r="K461"/>
      <c r="L461"/>
      <c r="M461" s="6"/>
      <c r="N461" s="6"/>
      <c r="O461" s="6"/>
      <c r="P461" s="3"/>
      <c r="Q461" s="3"/>
      <c r="R461" s="3"/>
      <c r="S461" s="3"/>
    </row>
    <row r="462" spans="2:19" s="2" customFormat="1" hidden="1" x14ac:dyDescent="0.25">
      <c r="B462">
        <v>10950</v>
      </c>
      <c r="C462" t="s">
        <v>175</v>
      </c>
      <c r="D462" s="6">
        <v>43175</v>
      </c>
      <c r="E462" s="6">
        <v>43203</v>
      </c>
      <c r="F462" s="6">
        <v>43182</v>
      </c>
      <c r="G462" s="3" t="s">
        <v>645</v>
      </c>
      <c r="H462" s="3">
        <v>12.5</v>
      </c>
      <c r="I462" s="3" t="s">
        <v>358</v>
      </c>
      <c r="J462" s="3" t="str">
        <f t="shared" si="6"/>
        <v>Mar</v>
      </c>
      <c r="K462"/>
      <c r="L462"/>
      <c r="M462" s="6"/>
      <c r="N462" s="6"/>
      <c r="O462" s="6"/>
      <c r="P462" s="3"/>
      <c r="Q462" s="3"/>
      <c r="R462" s="3"/>
      <c r="S462" s="3"/>
    </row>
    <row r="463" spans="2:19" s="2" customFormat="1" hidden="1" x14ac:dyDescent="0.25">
      <c r="B463">
        <v>10529</v>
      </c>
      <c r="C463" t="s">
        <v>178</v>
      </c>
      <c r="D463" s="6">
        <v>42862</v>
      </c>
      <c r="E463" s="6">
        <v>42890</v>
      </c>
      <c r="F463" s="6">
        <v>42864</v>
      </c>
      <c r="G463" s="3" t="s">
        <v>645</v>
      </c>
      <c r="H463" s="3">
        <v>333.45</v>
      </c>
      <c r="I463" s="3" t="s">
        <v>12</v>
      </c>
      <c r="J463" s="3" t="str">
        <f t="shared" si="6"/>
        <v>May</v>
      </c>
      <c r="K463"/>
      <c r="L463"/>
      <c r="M463" s="6"/>
      <c r="N463" s="6"/>
      <c r="O463" s="6"/>
      <c r="P463" s="3"/>
      <c r="Q463" s="3"/>
      <c r="R463" s="3"/>
      <c r="S463" s="3"/>
    </row>
    <row r="464" spans="2:19" s="2" customFormat="1" hidden="1" x14ac:dyDescent="0.25">
      <c r="B464">
        <v>10649</v>
      </c>
      <c r="C464" t="s">
        <v>178</v>
      </c>
      <c r="D464" s="6">
        <v>42975</v>
      </c>
      <c r="E464" s="6">
        <v>43003</v>
      </c>
      <c r="F464" s="6">
        <v>42976</v>
      </c>
      <c r="G464" s="3" t="s">
        <v>646</v>
      </c>
      <c r="H464" s="3">
        <v>31</v>
      </c>
      <c r="I464" s="3" t="s">
        <v>12</v>
      </c>
      <c r="J464" s="3" t="str">
        <f t="shared" si="6"/>
        <v>Aug</v>
      </c>
      <c r="K464"/>
      <c r="L464"/>
      <c r="M464" s="6"/>
      <c r="N464" s="6"/>
      <c r="O464" s="6"/>
      <c r="P464" s="3"/>
      <c r="Q464" s="3"/>
      <c r="R464" s="3"/>
      <c r="S464" s="3"/>
    </row>
    <row r="465" spans="2:19" s="2" customFormat="1" hidden="1" x14ac:dyDescent="0.25">
      <c r="B465">
        <v>10760</v>
      </c>
      <c r="C465" t="s">
        <v>178</v>
      </c>
      <c r="D465" s="6">
        <v>43070</v>
      </c>
      <c r="E465" s="6">
        <v>43098</v>
      </c>
      <c r="F465" s="6">
        <v>43079</v>
      </c>
      <c r="G465" s="3" t="s">
        <v>644</v>
      </c>
      <c r="H465" s="3">
        <v>778.19999999999993</v>
      </c>
      <c r="I465" s="3" t="s">
        <v>12</v>
      </c>
      <c r="J465" s="3" t="str">
        <f t="shared" ref="J465:J528" si="7">TEXT(D465,"mmm")</f>
        <v>Dec</v>
      </c>
      <c r="K465"/>
      <c r="L465"/>
      <c r="M465" s="6"/>
      <c r="N465" s="6"/>
      <c r="O465" s="6"/>
      <c r="P465" s="3"/>
      <c r="Q465" s="3"/>
      <c r="R465" s="3"/>
      <c r="S465" s="3"/>
    </row>
    <row r="466" spans="2:19" s="2" customFormat="1" hidden="1" x14ac:dyDescent="0.25">
      <c r="B466">
        <v>10892</v>
      </c>
      <c r="C466" t="s">
        <v>178</v>
      </c>
      <c r="D466" s="6">
        <v>43148</v>
      </c>
      <c r="E466" s="6">
        <v>43176</v>
      </c>
      <c r="F466" s="6">
        <v>43150</v>
      </c>
      <c r="G466" s="3" t="s">
        <v>645</v>
      </c>
      <c r="H466" s="3">
        <v>601.35</v>
      </c>
      <c r="I466" s="3" t="s">
        <v>12</v>
      </c>
      <c r="J466" s="3" t="str">
        <f t="shared" si="7"/>
        <v>Feb</v>
      </c>
      <c r="K466"/>
      <c r="L466"/>
      <c r="M466" s="6"/>
      <c r="N466" s="6"/>
      <c r="O466" s="6"/>
      <c r="P466" s="3"/>
      <c r="Q466" s="3"/>
      <c r="R466" s="3"/>
      <c r="S466" s="3"/>
    </row>
    <row r="467" spans="2:19" s="2" customFormat="1" hidden="1" x14ac:dyDescent="0.25">
      <c r="B467">
        <v>10896</v>
      </c>
      <c r="C467" t="s">
        <v>178</v>
      </c>
      <c r="D467" s="6">
        <v>43150</v>
      </c>
      <c r="E467" s="6">
        <v>43178</v>
      </c>
      <c r="F467" s="6">
        <v>43158</v>
      </c>
      <c r="G467" s="3" t="s">
        <v>646</v>
      </c>
      <c r="H467" s="3">
        <v>162.25</v>
      </c>
      <c r="I467" s="3" t="s">
        <v>12</v>
      </c>
      <c r="J467" s="3" t="str">
        <f t="shared" si="7"/>
        <v>Feb</v>
      </c>
      <c r="K467"/>
      <c r="L467"/>
      <c r="M467" s="6"/>
      <c r="N467" s="6"/>
      <c r="O467" s="6"/>
      <c r="P467" s="3"/>
      <c r="Q467" s="3"/>
      <c r="R467" s="3"/>
      <c r="S467" s="3"/>
    </row>
    <row r="468" spans="2:19" s="2" customFormat="1" hidden="1" x14ac:dyDescent="0.25">
      <c r="B468">
        <v>10978</v>
      </c>
      <c r="C468" t="s">
        <v>178</v>
      </c>
      <c r="D468" s="6">
        <v>43185</v>
      </c>
      <c r="E468" s="6">
        <v>43213</v>
      </c>
      <c r="F468" s="6">
        <v>43213</v>
      </c>
      <c r="G468" s="3" t="s">
        <v>645</v>
      </c>
      <c r="H468" s="3">
        <v>164.1</v>
      </c>
      <c r="I468" s="3" t="s">
        <v>12</v>
      </c>
      <c r="J468" s="3" t="str">
        <f t="shared" si="7"/>
        <v>Mar</v>
      </c>
      <c r="K468"/>
      <c r="L468"/>
      <c r="M468" s="6"/>
      <c r="N468" s="6"/>
      <c r="O468" s="6"/>
      <c r="P468" s="3"/>
      <c r="Q468" s="3"/>
      <c r="R468" s="3"/>
      <c r="S468" s="3"/>
    </row>
    <row r="469" spans="2:19" s="2" customFormat="1" hidden="1" x14ac:dyDescent="0.25">
      <c r="B469">
        <v>11004</v>
      </c>
      <c r="C469" t="s">
        <v>178</v>
      </c>
      <c r="D469" s="6">
        <v>43197</v>
      </c>
      <c r="E469" s="6">
        <v>43225</v>
      </c>
      <c r="F469" s="6">
        <v>43210</v>
      </c>
      <c r="G469" s="3" t="s">
        <v>644</v>
      </c>
      <c r="H469" s="3">
        <v>224.20000000000002</v>
      </c>
      <c r="I469" s="3" t="s">
        <v>12</v>
      </c>
      <c r="J469" s="3" t="str">
        <f t="shared" si="7"/>
        <v>Apr</v>
      </c>
      <c r="K469"/>
      <c r="L469"/>
      <c r="M469" s="6"/>
      <c r="N469" s="6"/>
      <c r="O469" s="6"/>
      <c r="P469" s="3"/>
      <c r="Q469" s="3"/>
      <c r="R469" s="3"/>
      <c r="S469" s="3"/>
    </row>
    <row r="470" spans="2:19" s="2" customFormat="1" hidden="1" x14ac:dyDescent="0.25">
      <c r="B470">
        <v>10332</v>
      </c>
      <c r="C470" t="s">
        <v>181</v>
      </c>
      <c r="D470" s="6">
        <v>42660</v>
      </c>
      <c r="E470" s="6">
        <v>42702</v>
      </c>
      <c r="F470" s="6">
        <v>42664</v>
      </c>
      <c r="G470" s="3" t="s">
        <v>645</v>
      </c>
      <c r="H470" s="3">
        <v>264.20000000000005</v>
      </c>
      <c r="I470" s="3" t="s">
        <v>359</v>
      </c>
      <c r="J470" s="3" t="str">
        <f t="shared" si="7"/>
        <v>Oct</v>
      </c>
      <c r="K470"/>
      <c r="L470"/>
      <c r="M470" s="6"/>
      <c r="N470" s="6"/>
      <c r="O470" s="6"/>
      <c r="P470" s="3"/>
      <c r="Q470" s="3"/>
      <c r="R470" s="3"/>
      <c r="S470" s="3"/>
    </row>
    <row r="471" spans="2:19" s="2" customFormat="1" hidden="1" x14ac:dyDescent="0.25">
      <c r="B471">
        <v>10339</v>
      </c>
      <c r="C471" t="s">
        <v>181</v>
      </c>
      <c r="D471" s="6">
        <v>42671</v>
      </c>
      <c r="E471" s="6">
        <v>42699</v>
      </c>
      <c r="F471" s="6">
        <v>42678</v>
      </c>
      <c r="G471" s="3" t="s">
        <v>645</v>
      </c>
      <c r="H471" s="3">
        <v>78.3</v>
      </c>
      <c r="I471" s="3" t="s">
        <v>359</v>
      </c>
      <c r="J471" s="3" t="str">
        <f t="shared" si="7"/>
        <v>Oct</v>
      </c>
      <c r="K471"/>
      <c r="L471"/>
      <c r="M471" s="6"/>
      <c r="N471" s="6"/>
      <c r="O471" s="6"/>
      <c r="P471" s="3"/>
      <c r="Q471" s="3"/>
      <c r="R471" s="3"/>
      <c r="S471" s="3"/>
    </row>
    <row r="472" spans="2:19" s="2" customFormat="1" hidden="1" x14ac:dyDescent="0.25">
      <c r="B472">
        <v>10376</v>
      </c>
      <c r="C472" t="s">
        <v>181</v>
      </c>
      <c r="D472" s="6">
        <v>42713</v>
      </c>
      <c r="E472" s="6">
        <v>42741</v>
      </c>
      <c r="F472" s="6">
        <v>42717</v>
      </c>
      <c r="G472" s="3" t="s">
        <v>645</v>
      </c>
      <c r="H472" s="3">
        <v>101.95</v>
      </c>
      <c r="I472" s="3" t="s">
        <v>359</v>
      </c>
      <c r="J472" s="3" t="str">
        <f t="shared" si="7"/>
        <v>Dec</v>
      </c>
      <c r="K472"/>
      <c r="L472"/>
      <c r="M472" s="6"/>
      <c r="N472" s="6"/>
      <c r="O472" s="6"/>
      <c r="P472" s="3"/>
      <c r="Q472" s="3"/>
      <c r="R472" s="3"/>
      <c r="S472" s="3"/>
    </row>
    <row r="473" spans="2:19" s="2" customFormat="1" hidden="1" x14ac:dyDescent="0.25">
      <c r="B473">
        <v>10424</v>
      </c>
      <c r="C473" t="s">
        <v>181</v>
      </c>
      <c r="D473" s="6">
        <v>42758</v>
      </c>
      <c r="E473" s="6">
        <v>42786</v>
      </c>
      <c r="F473" s="6">
        <v>42762</v>
      </c>
      <c r="G473" s="3" t="s">
        <v>645</v>
      </c>
      <c r="H473" s="3">
        <v>1853.0500000000002</v>
      </c>
      <c r="I473" s="3" t="s">
        <v>359</v>
      </c>
      <c r="J473" s="3" t="str">
        <f t="shared" si="7"/>
        <v>Jan</v>
      </c>
      <c r="K473"/>
      <c r="L473"/>
      <c r="M473" s="6"/>
      <c r="N473" s="6"/>
      <c r="O473" s="6"/>
      <c r="P473" s="3"/>
      <c r="Q473" s="3"/>
      <c r="R473" s="3"/>
      <c r="S473" s="3"/>
    </row>
    <row r="474" spans="2:19" s="2" customFormat="1" hidden="1" x14ac:dyDescent="0.25">
      <c r="B474">
        <v>10439</v>
      </c>
      <c r="C474" t="s">
        <v>181</v>
      </c>
      <c r="D474" s="6">
        <v>42773</v>
      </c>
      <c r="E474" s="6">
        <v>42801</v>
      </c>
      <c r="F474" s="6">
        <v>42776</v>
      </c>
      <c r="G474" s="3" t="s">
        <v>646</v>
      </c>
      <c r="H474" s="3">
        <v>20.350000000000001</v>
      </c>
      <c r="I474" s="3" t="s">
        <v>359</v>
      </c>
      <c r="J474" s="3" t="str">
        <f t="shared" si="7"/>
        <v>Feb</v>
      </c>
      <c r="K474"/>
      <c r="L474"/>
      <c r="M474" s="6"/>
      <c r="N474" s="6"/>
      <c r="O474" s="6"/>
      <c r="P474" s="3"/>
      <c r="Q474" s="3"/>
      <c r="R474" s="3"/>
      <c r="S474" s="3"/>
    </row>
    <row r="475" spans="2:19" s="2" customFormat="1" hidden="1" x14ac:dyDescent="0.25">
      <c r="B475">
        <v>10505</v>
      </c>
      <c r="C475" t="s">
        <v>181</v>
      </c>
      <c r="D475" s="6">
        <v>42839</v>
      </c>
      <c r="E475" s="6">
        <v>42867</v>
      </c>
      <c r="F475" s="6">
        <v>42846</v>
      </c>
      <c r="G475" s="3" t="s">
        <v>646</v>
      </c>
      <c r="H475" s="3">
        <v>35.65</v>
      </c>
      <c r="I475" s="3" t="s">
        <v>359</v>
      </c>
      <c r="J475" s="3" t="str">
        <f t="shared" si="7"/>
        <v>Apr</v>
      </c>
      <c r="K475"/>
      <c r="L475"/>
      <c r="M475" s="6"/>
      <c r="N475" s="6"/>
      <c r="O475" s="6"/>
      <c r="P475" s="3"/>
      <c r="Q475" s="3"/>
      <c r="R475" s="3"/>
      <c r="S475" s="3"/>
    </row>
    <row r="476" spans="2:19" s="2" customFormat="1" hidden="1" x14ac:dyDescent="0.25">
      <c r="B476">
        <v>10565</v>
      </c>
      <c r="C476" t="s">
        <v>181</v>
      </c>
      <c r="D476" s="6">
        <v>42897</v>
      </c>
      <c r="E476" s="6">
        <v>42925</v>
      </c>
      <c r="F476" s="6">
        <v>42904</v>
      </c>
      <c r="G476" s="3" t="s">
        <v>645</v>
      </c>
      <c r="H476" s="3">
        <v>35.75</v>
      </c>
      <c r="I476" s="3" t="s">
        <v>359</v>
      </c>
      <c r="J476" s="3" t="str">
        <f t="shared" si="7"/>
        <v>Jun</v>
      </c>
      <c r="K476"/>
      <c r="L476"/>
      <c r="M476" s="6"/>
      <c r="N476" s="6"/>
      <c r="O476" s="6"/>
      <c r="P476" s="3"/>
      <c r="Q476" s="3"/>
      <c r="R476" s="3"/>
      <c r="S476" s="3"/>
    </row>
    <row r="477" spans="2:19" s="2" customFormat="1" hidden="1" x14ac:dyDescent="0.25">
      <c r="B477">
        <v>10570</v>
      </c>
      <c r="C477" t="s">
        <v>181</v>
      </c>
      <c r="D477" s="6">
        <v>42903</v>
      </c>
      <c r="E477" s="6">
        <v>42931</v>
      </c>
      <c r="F477" s="6">
        <v>42905</v>
      </c>
      <c r="G477" s="3" t="s">
        <v>646</v>
      </c>
      <c r="H477" s="3">
        <v>944.95</v>
      </c>
      <c r="I477" s="3" t="s">
        <v>359</v>
      </c>
      <c r="J477" s="3" t="str">
        <f t="shared" si="7"/>
        <v>Jun</v>
      </c>
      <c r="K477"/>
      <c r="L477"/>
      <c r="M477" s="6"/>
      <c r="N477" s="6"/>
      <c r="O477" s="6"/>
      <c r="P477" s="3"/>
      <c r="Q477" s="3"/>
      <c r="R477" s="3"/>
      <c r="S477" s="3"/>
    </row>
    <row r="478" spans="2:19" s="2" customFormat="1" hidden="1" x14ac:dyDescent="0.25">
      <c r="B478">
        <v>10590</v>
      </c>
      <c r="C478" t="s">
        <v>181</v>
      </c>
      <c r="D478" s="6">
        <v>42923</v>
      </c>
      <c r="E478" s="6">
        <v>42951</v>
      </c>
      <c r="F478" s="6">
        <v>42930</v>
      </c>
      <c r="G478" s="3" t="s">
        <v>646</v>
      </c>
      <c r="H478" s="3">
        <v>223.85000000000002</v>
      </c>
      <c r="I478" s="3" t="s">
        <v>359</v>
      </c>
      <c r="J478" s="3" t="str">
        <f t="shared" si="7"/>
        <v>Jul</v>
      </c>
      <c r="K478"/>
      <c r="L478"/>
      <c r="M478" s="6"/>
      <c r="N478" s="6"/>
      <c r="O478" s="6"/>
      <c r="P478" s="3"/>
      <c r="Q478" s="3"/>
      <c r="R478" s="3"/>
      <c r="S478" s="3"/>
    </row>
    <row r="479" spans="2:19" s="2" customFormat="1" hidden="1" x14ac:dyDescent="0.25">
      <c r="B479">
        <v>10605</v>
      </c>
      <c r="C479" t="s">
        <v>181</v>
      </c>
      <c r="D479" s="6">
        <v>42937</v>
      </c>
      <c r="E479" s="6">
        <v>42965</v>
      </c>
      <c r="F479" s="6">
        <v>42945</v>
      </c>
      <c r="G479" s="3" t="s">
        <v>645</v>
      </c>
      <c r="H479" s="3">
        <v>1895.65</v>
      </c>
      <c r="I479" s="3" t="s">
        <v>359</v>
      </c>
      <c r="J479" s="3" t="str">
        <f t="shared" si="7"/>
        <v>Jul</v>
      </c>
      <c r="K479"/>
      <c r="L479"/>
      <c r="M479" s="6"/>
      <c r="N479" s="6"/>
      <c r="O479" s="6"/>
      <c r="P479" s="3"/>
      <c r="Q479" s="3"/>
      <c r="R479" s="3"/>
      <c r="S479" s="3"/>
    </row>
    <row r="480" spans="2:19" s="2" customFormat="1" hidden="1" x14ac:dyDescent="0.25">
      <c r="B480">
        <v>10618</v>
      </c>
      <c r="C480" t="s">
        <v>181</v>
      </c>
      <c r="D480" s="6">
        <v>42948</v>
      </c>
      <c r="E480" s="6">
        <v>42990</v>
      </c>
      <c r="F480" s="6">
        <v>42955</v>
      </c>
      <c r="G480" s="3" t="s">
        <v>644</v>
      </c>
      <c r="H480" s="3">
        <v>773.40000000000009</v>
      </c>
      <c r="I480" s="3" t="s">
        <v>359</v>
      </c>
      <c r="J480" s="3" t="str">
        <f t="shared" si="7"/>
        <v>Aug</v>
      </c>
      <c r="K480"/>
      <c r="L480"/>
      <c r="M480" s="6"/>
      <c r="N480" s="6"/>
      <c r="O480" s="6"/>
      <c r="P480" s="3"/>
      <c r="Q480" s="3"/>
      <c r="R480" s="3"/>
      <c r="S480" s="3"/>
    </row>
    <row r="481" spans="2:19" s="2" customFormat="1" hidden="1" x14ac:dyDescent="0.25">
      <c r="B481">
        <v>10619</v>
      </c>
      <c r="C481" t="s">
        <v>181</v>
      </c>
      <c r="D481" s="6">
        <v>42951</v>
      </c>
      <c r="E481" s="6">
        <v>42979</v>
      </c>
      <c r="F481" s="6">
        <v>42954</v>
      </c>
      <c r="G481" s="3" t="s">
        <v>646</v>
      </c>
      <c r="H481" s="3">
        <v>455.25</v>
      </c>
      <c r="I481" s="3" t="s">
        <v>359</v>
      </c>
      <c r="J481" s="3" t="str">
        <f t="shared" si="7"/>
        <v>Aug</v>
      </c>
      <c r="K481"/>
      <c r="L481"/>
      <c r="M481" s="6"/>
      <c r="N481" s="6"/>
      <c r="O481" s="6"/>
      <c r="P481" s="3"/>
      <c r="Q481" s="3"/>
      <c r="R481" s="3"/>
      <c r="S481" s="3"/>
    </row>
    <row r="482" spans="2:19" s="2" customFormat="1" hidden="1" x14ac:dyDescent="0.25">
      <c r="B482">
        <v>10724</v>
      </c>
      <c r="C482" t="s">
        <v>181</v>
      </c>
      <c r="D482" s="6">
        <v>43038</v>
      </c>
      <c r="E482" s="6">
        <v>43080</v>
      </c>
      <c r="F482" s="6">
        <v>43044</v>
      </c>
      <c r="G482" s="3" t="s">
        <v>645</v>
      </c>
      <c r="H482" s="3">
        <v>288.75</v>
      </c>
      <c r="I482" s="3" t="s">
        <v>359</v>
      </c>
      <c r="J482" s="3" t="str">
        <f t="shared" si="7"/>
        <v>Oct</v>
      </c>
      <c r="K482"/>
      <c r="L482"/>
      <c r="M482" s="6"/>
      <c r="N482" s="6"/>
      <c r="O482" s="6"/>
      <c r="P482" s="3"/>
      <c r="Q482" s="3"/>
      <c r="R482" s="3"/>
      <c r="S482" s="3"/>
    </row>
    <row r="483" spans="2:19" s="2" customFormat="1" hidden="1" x14ac:dyDescent="0.25">
      <c r="B483">
        <v>10277</v>
      </c>
      <c r="C483" t="s">
        <v>184</v>
      </c>
      <c r="D483" s="6">
        <v>42591</v>
      </c>
      <c r="E483" s="6">
        <v>42619</v>
      </c>
      <c r="F483" s="6">
        <v>42595</v>
      </c>
      <c r="G483" s="3" t="s">
        <v>646</v>
      </c>
      <c r="H483" s="3">
        <v>628.85</v>
      </c>
      <c r="I483" s="3" t="s">
        <v>360</v>
      </c>
      <c r="J483" s="3" t="str">
        <f t="shared" si="7"/>
        <v>Aug</v>
      </c>
      <c r="K483"/>
      <c r="L483"/>
      <c r="M483" s="6"/>
      <c r="N483" s="6"/>
      <c r="O483" s="6"/>
      <c r="P483" s="3"/>
      <c r="Q483" s="3"/>
      <c r="R483" s="3"/>
      <c r="S483" s="3"/>
    </row>
    <row r="484" spans="2:19" s="2" customFormat="1" hidden="1" x14ac:dyDescent="0.25">
      <c r="B484">
        <v>10575</v>
      </c>
      <c r="C484" t="s">
        <v>184</v>
      </c>
      <c r="D484" s="6">
        <v>42906</v>
      </c>
      <c r="E484" s="6">
        <v>42920</v>
      </c>
      <c r="F484" s="6">
        <v>42916</v>
      </c>
      <c r="G484" s="3" t="s">
        <v>644</v>
      </c>
      <c r="H484" s="3">
        <v>636.70000000000005</v>
      </c>
      <c r="I484" s="3" t="s">
        <v>360</v>
      </c>
      <c r="J484" s="3" t="str">
        <f t="shared" si="7"/>
        <v>Jun</v>
      </c>
      <c r="K484"/>
      <c r="L484"/>
      <c r="M484" s="6"/>
      <c r="N484" s="6"/>
      <c r="O484" s="6"/>
      <c r="P484" s="3"/>
      <c r="Q484" s="3"/>
      <c r="R484" s="3"/>
      <c r="S484" s="3"/>
    </row>
    <row r="485" spans="2:19" s="2" customFormat="1" hidden="1" x14ac:dyDescent="0.25">
      <c r="B485">
        <v>10699</v>
      </c>
      <c r="C485" t="s">
        <v>184</v>
      </c>
      <c r="D485" s="6">
        <v>43017</v>
      </c>
      <c r="E485" s="6">
        <v>43045</v>
      </c>
      <c r="F485" s="6">
        <v>43021</v>
      </c>
      <c r="G485" s="3" t="s">
        <v>646</v>
      </c>
      <c r="H485" s="3">
        <v>2.9</v>
      </c>
      <c r="I485" s="3" t="s">
        <v>360</v>
      </c>
      <c r="J485" s="3" t="str">
        <f t="shared" si="7"/>
        <v>Oct</v>
      </c>
      <c r="K485"/>
      <c r="L485"/>
      <c r="M485" s="6"/>
      <c r="N485" s="6"/>
      <c r="O485" s="6"/>
      <c r="P485" s="3"/>
      <c r="Q485" s="3"/>
      <c r="R485" s="3"/>
      <c r="S485" s="3"/>
    </row>
    <row r="486" spans="2:19" s="2" customFormat="1" hidden="1" x14ac:dyDescent="0.25">
      <c r="B486">
        <v>10779</v>
      </c>
      <c r="C486" t="s">
        <v>184</v>
      </c>
      <c r="D486" s="6">
        <v>43085</v>
      </c>
      <c r="E486" s="6">
        <v>43113</v>
      </c>
      <c r="F486" s="6">
        <v>43114</v>
      </c>
      <c r="G486" s="3" t="s">
        <v>645</v>
      </c>
      <c r="H486" s="3">
        <v>290.65000000000003</v>
      </c>
      <c r="I486" s="3" t="s">
        <v>360</v>
      </c>
      <c r="J486" s="3" t="str">
        <f t="shared" si="7"/>
        <v>Dec</v>
      </c>
      <c r="K486"/>
      <c r="L486"/>
      <c r="M486" s="6"/>
      <c r="N486" s="6"/>
      <c r="O486" s="6"/>
      <c r="P486" s="3"/>
      <c r="Q486" s="3"/>
      <c r="R486" s="3"/>
      <c r="S486" s="3"/>
    </row>
    <row r="487" spans="2:19" s="2" customFormat="1" hidden="1" x14ac:dyDescent="0.25">
      <c r="B487">
        <v>10945</v>
      </c>
      <c r="C487" t="s">
        <v>184</v>
      </c>
      <c r="D487" s="6">
        <v>43171</v>
      </c>
      <c r="E487" s="6">
        <v>43199</v>
      </c>
      <c r="F487" s="6">
        <v>43177</v>
      </c>
      <c r="G487" s="3" t="s">
        <v>644</v>
      </c>
      <c r="H487" s="3">
        <v>51.1</v>
      </c>
      <c r="I487" s="3" t="s">
        <v>360</v>
      </c>
      <c r="J487" s="3" t="str">
        <f t="shared" si="7"/>
        <v>Mar</v>
      </c>
      <c r="K487"/>
      <c r="L487"/>
      <c r="M487" s="6"/>
      <c r="N487" s="6"/>
      <c r="O487" s="6"/>
      <c r="P487" s="3"/>
      <c r="Q487" s="3"/>
      <c r="R487" s="3"/>
      <c r="S487" s="3"/>
    </row>
    <row r="488" spans="2:19" s="2" customFormat="1" hidden="1" x14ac:dyDescent="0.25">
      <c r="B488">
        <v>10517</v>
      </c>
      <c r="C488" t="s">
        <v>186</v>
      </c>
      <c r="D488" s="6">
        <v>42849</v>
      </c>
      <c r="E488" s="6">
        <v>42877</v>
      </c>
      <c r="F488" s="6">
        <v>42854</v>
      </c>
      <c r="G488" s="3" t="s">
        <v>646</v>
      </c>
      <c r="H488" s="3">
        <v>160.35</v>
      </c>
      <c r="I488" s="3" t="s">
        <v>361</v>
      </c>
      <c r="J488" s="3" t="str">
        <f t="shared" si="7"/>
        <v>Apr</v>
      </c>
      <c r="K488"/>
      <c r="L488"/>
      <c r="M488" s="6"/>
      <c r="N488" s="6"/>
      <c r="O488" s="6"/>
      <c r="P488" s="3"/>
      <c r="Q488" s="3"/>
      <c r="R488" s="3"/>
      <c r="S488" s="3"/>
    </row>
    <row r="489" spans="2:19" s="2" customFormat="1" hidden="1" x14ac:dyDescent="0.25">
      <c r="B489">
        <v>10752</v>
      </c>
      <c r="C489" t="s">
        <v>186</v>
      </c>
      <c r="D489" s="6">
        <v>43063</v>
      </c>
      <c r="E489" s="6">
        <v>43091</v>
      </c>
      <c r="F489" s="6">
        <v>43067</v>
      </c>
      <c r="G489" s="3" t="s">
        <v>646</v>
      </c>
      <c r="H489" s="3">
        <v>6.9499999999999993</v>
      </c>
      <c r="I489" s="3" t="s">
        <v>361</v>
      </c>
      <c r="J489" s="3" t="str">
        <f t="shared" si="7"/>
        <v>Nov</v>
      </c>
      <c r="K489"/>
      <c r="L489"/>
      <c r="M489" s="6"/>
      <c r="N489" s="6"/>
      <c r="O489" s="6"/>
      <c r="P489" s="3"/>
      <c r="Q489" s="3"/>
      <c r="R489" s="3"/>
      <c r="S489" s="3"/>
    </row>
    <row r="490" spans="2:19" s="2" customFormat="1" hidden="1" x14ac:dyDescent="0.25">
      <c r="B490">
        <v>11057</v>
      </c>
      <c r="C490" t="s">
        <v>186</v>
      </c>
      <c r="D490" s="6">
        <v>43219</v>
      </c>
      <c r="E490" s="6">
        <v>43247</v>
      </c>
      <c r="F490" s="6">
        <v>43221</v>
      </c>
      <c r="G490" s="3" t="s">
        <v>646</v>
      </c>
      <c r="H490" s="3">
        <v>20.65</v>
      </c>
      <c r="I490" s="3" t="s">
        <v>361</v>
      </c>
      <c r="J490" s="3" t="str">
        <f t="shared" si="7"/>
        <v>Apr</v>
      </c>
      <c r="K490"/>
      <c r="L490"/>
      <c r="M490" s="6"/>
      <c r="N490" s="6"/>
      <c r="O490" s="6"/>
      <c r="P490" s="3"/>
      <c r="Q490" s="3"/>
      <c r="R490" s="3"/>
      <c r="S490" s="3"/>
    </row>
    <row r="491" spans="2:19" s="2" customFormat="1" hidden="1" x14ac:dyDescent="0.25">
      <c r="B491">
        <v>10409</v>
      </c>
      <c r="C491" t="s">
        <v>189</v>
      </c>
      <c r="D491" s="6">
        <v>42744</v>
      </c>
      <c r="E491" s="6">
        <v>42772</v>
      </c>
      <c r="F491" s="6">
        <v>42749</v>
      </c>
      <c r="G491" s="3" t="s">
        <v>644</v>
      </c>
      <c r="H491" s="3">
        <v>149.14999999999998</v>
      </c>
      <c r="I491" s="3" t="s">
        <v>362</v>
      </c>
      <c r="J491" s="3" t="str">
        <f t="shared" si="7"/>
        <v>Jan</v>
      </c>
      <c r="K491"/>
      <c r="L491"/>
      <c r="M491" s="6"/>
      <c r="N491" s="6"/>
      <c r="O491" s="6"/>
      <c r="P491" s="3"/>
      <c r="Q491" s="3"/>
      <c r="R491" s="3"/>
      <c r="S491" s="3"/>
    </row>
    <row r="492" spans="2:19" s="2" customFormat="1" hidden="1" x14ac:dyDescent="0.25">
      <c r="B492">
        <v>10531</v>
      </c>
      <c r="C492" t="s">
        <v>189</v>
      </c>
      <c r="D492" s="6">
        <v>42863</v>
      </c>
      <c r="E492" s="6">
        <v>42891</v>
      </c>
      <c r="F492" s="6">
        <v>42874</v>
      </c>
      <c r="G492" s="3" t="s">
        <v>644</v>
      </c>
      <c r="H492" s="3">
        <v>40.599999999999994</v>
      </c>
      <c r="I492" s="3" t="s">
        <v>362</v>
      </c>
      <c r="J492" s="3" t="str">
        <f t="shared" si="7"/>
        <v>May</v>
      </c>
      <c r="K492"/>
      <c r="L492"/>
      <c r="M492" s="6"/>
      <c r="N492" s="6"/>
      <c r="O492" s="6"/>
      <c r="P492" s="3"/>
      <c r="Q492" s="3"/>
      <c r="R492" s="3"/>
      <c r="S492" s="3"/>
    </row>
    <row r="493" spans="2:19" s="2" customFormat="1" hidden="1" x14ac:dyDescent="0.25">
      <c r="B493">
        <v>10898</v>
      </c>
      <c r="C493" t="s">
        <v>189</v>
      </c>
      <c r="D493" s="6">
        <v>43151</v>
      </c>
      <c r="E493" s="6">
        <v>43179</v>
      </c>
      <c r="F493" s="6">
        <v>43165</v>
      </c>
      <c r="G493" s="3" t="s">
        <v>645</v>
      </c>
      <c r="H493" s="3">
        <v>6.35</v>
      </c>
      <c r="I493" s="3" t="s">
        <v>362</v>
      </c>
      <c r="J493" s="3" t="str">
        <f t="shared" si="7"/>
        <v>Feb</v>
      </c>
      <c r="K493"/>
      <c r="L493"/>
      <c r="M493" s="6"/>
      <c r="N493" s="6"/>
      <c r="O493" s="6"/>
      <c r="P493" s="3"/>
      <c r="Q493" s="3"/>
      <c r="R493" s="3"/>
      <c r="S493" s="3"/>
    </row>
    <row r="494" spans="2:19" s="2" customFormat="1" hidden="1" x14ac:dyDescent="0.25">
      <c r="B494">
        <v>10958</v>
      </c>
      <c r="C494" t="s">
        <v>189</v>
      </c>
      <c r="D494" s="6">
        <v>43177</v>
      </c>
      <c r="E494" s="6">
        <v>43205</v>
      </c>
      <c r="F494" s="6">
        <v>43186</v>
      </c>
      <c r="G494" s="3" t="s">
        <v>645</v>
      </c>
      <c r="H494" s="3">
        <v>247.8</v>
      </c>
      <c r="I494" s="3" t="s">
        <v>362</v>
      </c>
      <c r="J494" s="3" t="str">
        <f t="shared" si="7"/>
        <v>Mar</v>
      </c>
      <c r="K494"/>
      <c r="L494"/>
      <c r="M494" s="6"/>
      <c r="N494" s="6"/>
      <c r="O494" s="6"/>
      <c r="P494" s="3"/>
      <c r="Q494" s="3"/>
      <c r="R494" s="3"/>
      <c r="S494" s="3"/>
    </row>
    <row r="495" spans="2:19" s="2" customFormat="1" hidden="1" x14ac:dyDescent="0.25">
      <c r="B495">
        <v>10986</v>
      </c>
      <c r="C495" t="s">
        <v>189</v>
      </c>
      <c r="D495" s="6">
        <v>43189</v>
      </c>
      <c r="E495" s="6">
        <v>43217</v>
      </c>
      <c r="F495" s="6">
        <v>43211</v>
      </c>
      <c r="G495" s="3" t="s">
        <v>645</v>
      </c>
      <c r="H495" s="3">
        <v>1089.3000000000002</v>
      </c>
      <c r="I495" s="3" t="s">
        <v>362</v>
      </c>
      <c r="J495" s="3" t="str">
        <f t="shared" si="7"/>
        <v>Mar</v>
      </c>
      <c r="K495"/>
      <c r="L495"/>
      <c r="M495" s="6"/>
      <c r="N495" s="6"/>
      <c r="O495" s="6"/>
      <c r="P495" s="3"/>
      <c r="Q495" s="3"/>
      <c r="R495" s="3"/>
      <c r="S495" s="3"/>
    </row>
    <row r="496" spans="2:19" s="2" customFormat="1" hidden="1" x14ac:dyDescent="0.25">
      <c r="B496">
        <v>10260</v>
      </c>
      <c r="C496" t="s">
        <v>192</v>
      </c>
      <c r="D496" s="6">
        <v>42570</v>
      </c>
      <c r="E496" s="6">
        <v>42598</v>
      </c>
      <c r="F496" s="6">
        <v>42580</v>
      </c>
      <c r="G496" s="3" t="s">
        <v>644</v>
      </c>
      <c r="H496" s="3">
        <v>275.45000000000005</v>
      </c>
      <c r="I496" s="3" t="s">
        <v>363</v>
      </c>
      <c r="J496" s="3" t="str">
        <f t="shared" si="7"/>
        <v>Jul</v>
      </c>
      <c r="K496"/>
      <c r="L496"/>
      <c r="M496" s="6"/>
      <c r="N496" s="6"/>
      <c r="O496" s="6"/>
      <c r="P496" s="3"/>
      <c r="Q496" s="3"/>
      <c r="R496" s="3"/>
      <c r="S496" s="3"/>
    </row>
    <row r="497" spans="2:19" s="2" customFormat="1" hidden="1" x14ac:dyDescent="0.25">
      <c r="B497">
        <v>10305</v>
      </c>
      <c r="C497" t="s">
        <v>192</v>
      </c>
      <c r="D497" s="6">
        <v>42626</v>
      </c>
      <c r="E497" s="6">
        <v>42654</v>
      </c>
      <c r="F497" s="6">
        <v>42652</v>
      </c>
      <c r="G497" s="3" t="s">
        <v>646</v>
      </c>
      <c r="H497" s="3">
        <v>1288.0999999999999</v>
      </c>
      <c r="I497" s="3" t="s">
        <v>363</v>
      </c>
      <c r="J497" s="3" t="str">
        <f t="shared" si="7"/>
        <v>Sep</v>
      </c>
      <c r="K497"/>
      <c r="L497"/>
      <c r="M497" s="6"/>
      <c r="N497" s="6"/>
      <c r="O497" s="6"/>
      <c r="P497" s="3"/>
      <c r="Q497" s="3"/>
      <c r="R497" s="3"/>
      <c r="S497" s="3"/>
    </row>
    <row r="498" spans="2:19" s="2" customFormat="1" hidden="1" x14ac:dyDescent="0.25">
      <c r="B498">
        <v>10338</v>
      </c>
      <c r="C498" t="s">
        <v>192</v>
      </c>
      <c r="D498" s="6">
        <v>42668</v>
      </c>
      <c r="E498" s="6">
        <v>42696</v>
      </c>
      <c r="F498" s="6">
        <v>42672</v>
      </c>
      <c r="G498" s="3" t="s">
        <v>646</v>
      </c>
      <c r="H498" s="3">
        <v>421.04999999999995</v>
      </c>
      <c r="I498" s="3" t="s">
        <v>363</v>
      </c>
      <c r="J498" s="3" t="str">
        <f t="shared" si="7"/>
        <v>Oct</v>
      </c>
      <c r="K498"/>
      <c r="L498"/>
      <c r="M498" s="6"/>
      <c r="N498" s="6"/>
      <c r="O498" s="6"/>
      <c r="P498" s="3"/>
      <c r="Q498" s="3"/>
      <c r="R498" s="3"/>
      <c r="S498" s="3"/>
    </row>
    <row r="499" spans="2:19" s="2" customFormat="1" hidden="1" x14ac:dyDescent="0.25">
      <c r="B499">
        <v>10441</v>
      </c>
      <c r="C499" t="s">
        <v>192</v>
      </c>
      <c r="D499" s="6">
        <v>42776</v>
      </c>
      <c r="E499" s="6">
        <v>42818</v>
      </c>
      <c r="F499" s="6">
        <v>42808</v>
      </c>
      <c r="G499" s="3" t="s">
        <v>645</v>
      </c>
      <c r="H499" s="3">
        <v>365.09999999999997</v>
      </c>
      <c r="I499" s="3" t="s">
        <v>363</v>
      </c>
      <c r="J499" s="3" t="str">
        <f t="shared" si="7"/>
        <v>Feb</v>
      </c>
      <c r="K499"/>
      <c r="L499"/>
      <c r="M499" s="6"/>
      <c r="N499" s="6"/>
      <c r="O499" s="6"/>
      <c r="P499" s="3"/>
      <c r="Q499" s="3"/>
      <c r="R499" s="3"/>
      <c r="S499" s="3"/>
    </row>
    <row r="500" spans="2:19" s="2" customFormat="1" hidden="1" x14ac:dyDescent="0.25">
      <c r="B500">
        <v>10594</v>
      </c>
      <c r="C500" t="s">
        <v>192</v>
      </c>
      <c r="D500" s="6">
        <v>42925</v>
      </c>
      <c r="E500" s="6">
        <v>42953</v>
      </c>
      <c r="F500" s="6">
        <v>42932</v>
      </c>
      <c r="G500" s="3" t="s">
        <v>645</v>
      </c>
      <c r="H500" s="3">
        <v>26.200000000000003</v>
      </c>
      <c r="I500" s="3" t="s">
        <v>363</v>
      </c>
      <c r="J500" s="3" t="str">
        <f t="shared" si="7"/>
        <v>Jul</v>
      </c>
      <c r="K500"/>
      <c r="L500"/>
      <c r="M500" s="6"/>
      <c r="N500" s="6"/>
      <c r="O500" s="6"/>
      <c r="P500" s="3"/>
      <c r="Q500" s="3"/>
      <c r="R500" s="3"/>
      <c r="S500" s="3"/>
    </row>
    <row r="501" spans="2:19" s="2" customFormat="1" hidden="1" x14ac:dyDescent="0.25">
      <c r="B501">
        <v>10680</v>
      </c>
      <c r="C501" t="s">
        <v>192</v>
      </c>
      <c r="D501" s="6">
        <v>43002</v>
      </c>
      <c r="E501" s="6">
        <v>43030</v>
      </c>
      <c r="F501" s="6">
        <v>43004</v>
      </c>
      <c r="G501" s="3" t="s">
        <v>644</v>
      </c>
      <c r="H501" s="3">
        <v>133.05000000000001</v>
      </c>
      <c r="I501" s="3" t="s">
        <v>363</v>
      </c>
      <c r="J501" s="3" t="str">
        <f t="shared" si="7"/>
        <v>Sep</v>
      </c>
      <c r="K501"/>
      <c r="L501"/>
      <c r="M501" s="6"/>
      <c r="N501" s="6"/>
      <c r="O501" s="6"/>
      <c r="P501" s="3"/>
      <c r="Q501" s="3"/>
      <c r="R501" s="3"/>
      <c r="S501" s="3"/>
    </row>
    <row r="502" spans="2:19" s="2" customFormat="1" hidden="1" x14ac:dyDescent="0.25">
      <c r="B502">
        <v>10706</v>
      </c>
      <c r="C502" t="s">
        <v>192</v>
      </c>
      <c r="D502" s="6">
        <v>43024</v>
      </c>
      <c r="E502" s="6">
        <v>43052</v>
      </c>
      <c r="F502" s="6">
        <v>43029</v>
      </c>
      <c r="G502" s="3" t="s">
        <v>646</v>
      </c>
      <c r="H502" s="3">
        <v>678.15</v>
      </c>
      <c r="I502" s="3" t="s">
        <v>363</v>
      </c>
      <c r="J502" s="3" t="str">
        <f t="shared" si="7"/>
        <v>Oct</v>
      </c>
      <c r="K502"/>
      <c r="L502"/>
      <c r="M502" s="6"/>
      <c r="N502" s="6"/>
      <c r="O502" s="6"/>
      <c r="P502" s="3"/>
      <c r="Q502" s="3"/>
      <c r="R502" s="3"/>
      <c r="S502" s="3"/>
    </row>
    <row r="503" spans="2:19" s="2" customFormat="1" hidden="1" x14ac:dyDescent="0.25">
      <c r="B503">
        <v>10855</v>
      </c>
      <c r="C503" t="s">
        <v>192</v>
      </c>
      <c r="D503" s="6">
        <v>43127</v>
      </c>
      <c r="E503" s="6">
        <v>43155</v>
      </c>
      <c r="F503" s="6">
        <v>43135</v>
      </c>
      <c r="G503" s="3" t="s">
        <v>644</v>
      </c>
      <c r="H503" s="3">
        <v>854.85</v>
      </c>
      <c r="I503" s="3" t="s">
        <v>363</v>
      </c>
      <c r="J503" s="3" t="str">
        <f t="shared" si="7"/>
        <v>Jan</v>
      </c>
      <c r="K503"/>
      <c r="L503"/>
      <c r="M503" s="6"/>
      <c r="N503" s="6"/>
      <c r="O503" s="6"/>
      <c r="P503" s="3"/>
      <c r="Q503" s="3"/>
      <c r="R503" s="3"/>
      <c r="S503" s="3"/>
    </row>
    <row r="504" spans="2:19" s="2" customFormat="1" hidden="1" x14ac:dyDescent="0.25">
      <c r="B504">
        <v>10965</v>
      </c>
      <c r="C504" t="s">
        <v>192</v>
      </c>
      <c r="D504" s="6">
        <v>43179</v>
      </c>
      <c r="E504" s="6">
        <v>43207</v>
      </c>
      <c r="F504" s="6">
        <v>43189</v>
      </c>
      <c r="G504" s="3" t="s">
        <v>646</v>
      </c>
      <c r="H504" s="3">
        <v>721.9</v>
      </c>
      <c r="I504" s="3" t="s">
        <v>363</v>
      </c>
      <c r="J504" s="3" t="str">
        <f t="shared" si="7"/>
        <v>Mar</v>
      </c>
      <c r="K504"/>
      <c r="L504"/>
      <c r="M504" s="6"/>
      <c r="N504" s="6"/>
      <c r="O504" s="6"/>
      <c r="P504" s="3"/>
      <c r="Q504" s="3"/>
      <c r="R504" s="3"/>
      <c r="S504" s="3"/>
    </row>
    <row r="505" spans="2:19" s="2" customFormat="1" hidden="1" x14ac:dyDescent="0.25">
      <c r="B505">
        <v>11034</v>
      </c>
      <c r="C505" t="s">
        <v>192</v>
      </c>
      <c r="D505" s="6">
        <v>43210</v>
      </c>
      <c r="E505" s="6">
        <v>43252</v>
      </c>
      <c r="F505" s="6">
        <v>43217</v>
      </c>
      <c r="G505" s="3" t="s">
        <v>644</v>
      </c>
      <c r="H505" s="3">
        <v>201.6</v>
      </c>
      <c r="I505" s="3" t="s">
        <v>363</v>
      </c>
      <c r="J505" s="3" t="str">
        <f t="shared" si="7"/>
        <v>Apr</v>
      </c>
      <c r="K505"/>
      <c r="L505"/>
      <c r="M505" s="6"/>
      <c r="N505" s="6"/>
      <c r="O505" s="6"/>
      <c r="P505" s="3"/>
      <c r="Q505" s="3"/>
      <c r="R505" s="3"/>
      <c r="S505" s="3"/>
    </row>
    <row r="506" spans="2:19" s="2" customFormat="1" hidden="1" x14ac:dyDescent="0.25">
      <c r="B506">
        <v>10407</v>
      </c>
      <c r="C506" t="s">
        <v>196</v>
      </c>
      <c r="D506" s="6">
        <v>42742</v>
      </c>
      <c r="E506" s="6">
        <v>42770</v>
      </c>
      <c r="F506" s="6">
        <v>42765</v>
      </c>
      <c r="G506" s="3" t="s">
        <v>645</v>
      </c>
      <c r="H506" s="3">
        <v>457.40000000000003</v>
      </c>
      <c r="I506" s="3" t="s">
        <v>364</v>
      </c>
      <c r="J506" s="3" t="str">
        <f t="shared" si="7"/>
        <v>Jan</v>
      </c>
      <c r="K506"/>
      <c r="L506"/>
      <c r="M506" s="6"/>
      <c r="N506" s="6"/>
      <c r="O506" s="6"/>
      <c r="P506" s="3"/>
      <c r="Q506" s="3"/>
      <c r="R506" s="3"/>
      <c r="S506" s="3"/>
    </row>
    <row r="507" spans="2:19" s="2" customFormat="1" hidden="1" x14ac:dyDescent="0.25">
      <c r="B507">
        <v>10508</v>
      </c>
      <c r="C507" t="s">
        <v>196</v>
      </c>
      <c r="D507" s="6">
        <v>42841</v>
      </c>
      <c r="E507" s="6">
        <v>42869</v>
      </c>
      <c r="F507" s="6">
        <v>42868</v>
      </c>
      <c r="G507" s="3" t="s">
        <v>645</v>
      </c>
      <c r="H507" s="3">
        <v>24.950000000000003</v>
      </c>
      <c r="I507" s="3" t="s">
        <v>364</v>
      </c>
      <c r="J507" s="3" t="str">
        <f t="shared" si="7"/>
        <v>Apr</v>
      </c>
      <c r="K507"/>
      <c r="L507"/>
      <c r="M507" s="6"/>
      <c r="N507" s="6"/>
      <c r="O507" s="6"/>
      <c r="P507" s="3"/>
      <c r="Q507" s="3"/>
      <c r="R507" s="3"/>
      <c r="S507" s="3"/>
    </row>
    <row r="508" spans="2:19" s="2" customFormat="1" hidden="1" x14ac:dyDescent="0.25">
      <c r="B508">
        <v>10554</v>
      </c>
      <c r="C508" t="s">
        <v>196</v>
      </c>
      <c r="D508" s="6">
        <v>42885</v>
      </c>
      <c r="E508" s="6">
        <v>42913</v>
      </c>
      <c r="F508" s="6">
        <v>42891</v>
      </c>
      <c r="G508" s="3" t="s">
        <v>646</v>
      </c>
      <c r="H508" s="3">
        <v>604.85</v>
      </c>
      <c r="I508" s="3" t="s">
        <v>364</v>
      </c>
      <c r="J508" s="3" t="str">
        <f t="shared" si="7"/>
        <v>May</v>
      </c>
      <c r="K508"/>
      <c r="L508"/>
      <c r="M508" s="6"/>
      <c r="N508" s="6"/>
      <c r="O508" s="6"/>
      <c r="P508" s="3"/>
      <c r="Q508" s="3"/>
      <c r="R508" s="3"/>
      <c r="S508" s="3"/>
    </row>
    <row r="509" spans="2:19" s="2" customFormat="1" hidden="1" x14ac:dyDescent="0.25">
      <c r="B509">
        <v>10580</v>
      </c>
      <c r="C509" t="s">
        <v>196</v>
      </c>
      <c r="D509" s="6">
        <v>42912</v>
      </c>
      <c r="E509" s="6">
        <v>42940</v>
      </c>
      <c r="F509" s="6">
        <v>42917</v>
      </c>
      <c r="G509" s="3" t="s">
        <v>646</v>
      </c>
      <c r="H509" s="3">
        <v>379.45</v>
      </c>
      <c r="I509" s="3" t="s">
        <v>364</v>
      </c>
      <c r="J509" s="3" t="str">
        <f t="shared" si="7"/>
        <v>Jun</v>
      </c>
      <c r="K509"/>
      <c r="L509"/>
      <c r="M509" s="6"/>
      <c r="N509" s="6"/>
      <c r="O509" s="6"/>
      <c r="P509" s="3"/>
      <c r="Q509" s="3"/>
      <c r="R509" s="3"/>
      <c r="S509" s="3"/>
    </row>
    <row r="510" spans="2:19" s="2" customFormat="1" hidden="1" x14ac:dyDescent="0.25">
      <c r="B510">
        <v>10684</v>
      </c>
      <c r="C510" t="s">
        <v>196</v>
      </c>
      <c r="D510" s="6">
        <v>43004</v>
      </c>
      <c r="E510" s="6">
        <v>43032</v>
      </c>
      <c r="F510" s="6">
        <v>43008</v>
      </c>
      <c r="G510" s="3" t="s">
        <v>644</v>
      </c>
      <c r="H510" s="3">
        <v>728.15</v>
      </c>
      <c r="I510" s="3" t="s">
        <v>364</v>
      </c>
      <c r="J510" s="3" t="str">
        <f t="shared" si="7"/>
        <v>Sep</v>
      </c>
      <c r="K510"/>
      <c r="L510"/>
      <c r="M510" s="6"/>
      <c r="N510" s="6"/>
      <c r="O510" s="6"/>
      <c r="P510" s="3"/>
      <c r="Q510" s="3"/>
      <c r="R510" s="3"/>
      <c r="S510" s="3"/>
    </row>
    <row r="511" spans="2:19" s="2" customFormat="1" hidden="1" x14ac:dyDescent="0.25">
      <c r="B511">
        <v>10766</v>
      </c>
      <c r="C511" t="s">
        <v>196</v>
      </c>
      <c r="D511" s="6">
        <v>43074</v>
      </c>
      <c r="E511" s="6">
        <v>43102</v>
      </c>
      <c r="F511" s="6">
        <v>43078</v>
      </c>
      <c r="G511" s="3" t="s">
        <v>644</v>
      </c>
      <c r="H511" s="3">
        <v>787.75</v>
      </c>
      <c r="I511" s="3" t="s">
        <v>364</v>
      </c>
      <c r="J511" s="3" t="str">
        <f t="shared" si="7"/>
        <v>Dec</v>
      </c>
      <c r="K511"/>
      <c r="L511"/>
      <c r="M511" s="6"/>
      <c r="N511" s="6"/>
      <c r="O511" s="6"/>
      <c r="P511" s="3"/>
      <c r="Q511" s="3"/>
      <c r="R511" s="3"/>
      <c r="S511" s="3"/>
    </row>
    <row r="512" spans="2:19" s="2" customFormat="1" hidden="1" x14ac:dyDescent="0.25">
      <c r="B512">
        <v>10833</v>
      </c>
      <c r="C512" t="s">
        <v>196</v>
      </c>
      <c r="D512" s="6">
        <v>43115</v>
      </c>
      <c r="E512" s="6">
        <v>43143</v>
      </c>
      <c r="F512" s="6">
        <v>43123</v>
      </c>
      <c r="G512" s="3" t="s">
        <v>645</v>
      </c>
      <c r="H512" s="3">
        <v>357.45</v>
      </c>
      <c r="I512" s="3" t="s">
        <v>364</v>
      </c>
      <c r="J512" s="3" t="str">
        <f t="shared" si="7"/>
        <v>Jan</v>
      </c>
      <c r="K512"/>
      <c r="L512"/>
      <c r="M512" s="6"/>
      <c r="N512" s="6"/>
      <c r="O512" s="6"/>
      <c r="P512" s="3"/>
      <c r="Q512" s="3"/>
      <c r="R512" s="3"/>
      <c r="S512" s="3"/>
    </row>
    <row r="513" spans="2:19" s="2" customFormat="1" hidden="1" x14ac:dyDescent="0.25">
      <c r="B513">
        <v>10999</v>
      </c>
      <c r="C513" t="s">
        <v>196</v>
      </c>
      <c r="D513" s="6">
        <v>43193</v>
      </c>
      <c r="E513" s="6">
        <v>43221</v>
      </c>
      <c r="F513" s="6">
        <v>43200</v>
      </c>
      <c r="G513" s="3" t="s">
        <v>645</v>
      </c>
      <c r="H513" s="3">
        <v>481.75</v>
      </c>
      <c r="I513" s="3" t="s">
        <v>364</v>
      </c>
      <c r="J513" s="3" t="str">
        <f t="shared" si="7"/>
        <v>Apr</v>
      </c>
      <c r="K513"/>
      <c r="L513"/>
      <c r="M513" s="6"/>
      <c r="N513" s="6"/>
      <c r="O513" s="6"/>
      <c r="P513" s="3"/>
      <c r="Q513" s="3"/>
      <c r="R513" s="3"/>
      <c r="S513" s="3"/>
    </row>
    <row r="514" spans="2:19" s="2" customFormat="1" hidden="1" x14ac:dyDescent="0.25">
      <c r="B514">
        <v>11020</v>
      </c>
      <c r="C514" t="s">
        <v>196</v>
      </c>
      <c r="D514" s="6">
        <v>43204</v>
      </c>
      <c r="E514" s="6">
        <v>43232</v>
      </c>
      <c r="F514" s="6">
        <v>43206</v>
      </c>
      <c r="G514" s="3" t="s">
        <v>645</v>
      </c>
      <c r="H514" s="3">
        <v>216.5</v>
      </c>
      <c r="I514" s="3" t="s">
        <v>364</v>
      </c>
      <c r="J514" s="3" t="str">
        <f t="shared" si="7"/>
        <v>Apr</v>
      </c>
      <c r="K514"/>
      <c r="L514"/>
      <c r="M514" s="6"/>
      <c r="N514" s="6"/>
      <c r="O514" s="6"/>
      <c r="P514" s="3"/>
      <c r="Q514" s="3"/>
      <c r="R514" s="3"/>
      <c r="S514" s="3"/>
    </row>
    <row r="515" spans="2:19" s="2" customFormat="1" hidden="1" x14ac:dyDescent="0.25">
      <c r="B515">
        <v>10322</v>
      </c>
      <c r="C515" t="s">
        <v>202</v>
      </c>
      <c r="D515" s="6">
        <v>42647</v>
      </c>
      <c r="E515" s="6">
        <v>42675</v>
      </c>
      <c r="F515" s="6">
        <v>42666</v>
      </c>
      <c r="G515" s="3" t="s">
        <v>646</v>
      </c>
      <c r="H515" s="3">
        <v>2</v>
      </c>
      <c r="I515" s="3" t="s">
        <v>11</v>
      </c>
      <c r="J515" s="3" t="str">
        <f t="shared" si="7"/>
        <v>Oct</v>
      </c>
      <c r="K515"/>
      <c r="L515"/>
      <c r="M515" s="6"/>
      <c r="N515" s="6"/>
      <c r="O515" s="6"/>
      <c r="P515" s="3"/>
      <c r="Q515" s="3"/>
      <c r="R515" s="3"/>
      <c r="S515" s="3"/>
    </row>
    <row r="516" spans="2:19" s="2" customFormat="1" hidden="1" x14ac:dyDescent="0.25">
      <c r="B516">
        <v>10354</v>
      </c>
      <c r="C516" t="s">
        <v>202</v>
      </c>
      <c r="D516" s="6">
        <v>42688</v>
      </c>
      <c r="E516" s="6">
        <v>42716</v>
      </c>
      <c r="F516" s="6">
        <v>42694</v>
      </c>
      <c r="G516" s="3" t="s">
        <v>646</v>
      </c>
      <c r="H516" s="3">
        <v>269</v>
      </c>
      <c r="I516" s="3" t="s">
        <v>11</v>
      </c>
      <c r="J516" s="3" t="str">
        <f t="shared" si="7"/>
        <v>Nov</v>
      </c>
      <c r="K516"/>
      <c r="L516"/>
      <c r="M516" s="6"/>
      <c r="N516" s="6"/>
      <c r="O516" s="6"/>
      <c r="P516" s="3"/>
      <c r="Q516" s="3"/>
      <c r="R516" s="3"/>
      <c r="S516" s="3"/>
    </row>
    <row r="517" spans="2:19" s="2" customFormat="1" hidden="1" x14ac:dyDescent="0.25">
      <c r="B517">
        <v>10474</v>
      </c>
      <c r="C517" t="s">
        <v>202</v>
      </c>
      <c r="D517" s="6">
        <v>42807</v>
      </c>
      <c r="E517" s="6">
        <v>42835</v>
      </c>
      <c r="F517" s="6">
        <v>42815</v>
      </c>
      <c r="G517" s="3" t="s">
        <v>645</v>
      </c>
      <c r="H517" s="3">
        <v>417.45</v>
      </c>
      <c r="I517" s="3" t="s">
        <v>11</v>
      </c>
      <c r="J517" s="3" t="str">
        <f t="shared" si="7"/>
        <v>Mar</v>
      </c>
      <c r="K517"/>
      <c r="L517"/>
      <c r="M517" s="6"/>
      <c r="N517" s="6"/>
      <c r="O517" s="6"/>
      <c r="P517" s="3"/>
      <c r="Q517" s="3"/>
      <c r="R517" s="3"/>
      <c r="S517" s="3"/>
    </row>
    <row r="518" spans="2:19" s="2" customFormat="1" hidden="1" x14ac:dyDescent="0.25">
      <c r="B518">
        <v>10502</v>
      </c>
      <c r="C518" t="s">
        <v>202</v>
      </c>
      <c r="D518" s="6">
        <v>42835</v>
      </c>
      <c r="E518" s="6">
        <v>42863</v>
      </c>
      <c r="F518" s="6">
        <v>42854</v>
      </c>
      <c r="G518" s="3" t="s">
        <v>644</v>
      </c>
      <c r="H518" s="3">
        <v>346.59999999999997</v>
      </c>
      <c r="I518" s="3" t="s">
        <v>11</v>
      </c>
      <c r="J518" s="3" t="str">
        <f t="shared" si="7"/>
        <v>Apr</v>
      </c>
      <c r="K518"/>
      <c r="L518"/>
      <c r="M518" s="6"/>
      <c r="N518" s="6"/>
      <c r="O518" s="6"/>
      <c r="P518" s="3"/>
      <c r="Q518" s="3"/>
      <c r="R518" s="3"/>
      <c r="S518" s="3"/>
    </row>
    <row r="519" spans="2:19" s="2" customFormat="1" hidden="1" x14ac:dyDescent="0.25">
      <c r="B519">
        <v>10995</v>
      </c>
      <c r="C519" t="s">
        <v>202</v>
      </c>
      <c r="D519" s="6">
        <v>43192</v>
      </c>
      <c r="E519" s="6">
        <v>43220</v>
      </c>
      <c r="F519" s="6">
        <v>43196</v>
      </c>
      <c r="G519" s="3" t="s">
        <v>646</v>
      </c>
      <c r="H519" s="3">
        <v>230</v>
      </c>
      <c r="I519" s="3" t="s">
        <v>11</v>
      </c>
      <c r="J519" s="3" t="str">
        <f t="shared" si="7"/>
        <v>Apr</v>
      </c>
      <c r="K519"/>
      <c r="L519"/>
      <c r="M519" s="6"/>
      <c r="N519" s="6"/>
      <c r="O519" s="6"/>
      <c r="P519" s="3"/>
      <c r="Q519" s="3"/>
      <c r="R519" s="3"/>
      <c r="S519" s="3"/>
    </row>
    <row r="520" spans="2:19" s="2" customFormat="1" hidden="1" x14ac:dyDescent="0.25">
      <c r="B520">
        <v>11073</v>
      </c>
      <c r="C520" t="s">
        <v>202</v>
      </c>
      <c r="D520" s="6">
        <v>43225</v>
      </c>
      <c r="E520" s="6">
        <v>43253</v>
      </c>
      <c r="F520" s="6"/>
      <c r="G520" s="3" t="s">
        <v>645</v>
      </c>
      <c r="H520" s="3">
        <v>124.75</v>
      </c>
      <c r="I520" s="3" t="s">
        <v>11</v>
      </c>
      <c r="J520" s="3" t="str">
        <f t="shared" si="7"/>
        <v>May</v>
      </c>
      <c r="K520"/>
      <c r="L520"/>
      <c r="M520" s="6"/>
      <c r="N520" s="6"/>
      <c r="O520" s="6"/>
      <c r="P520" s="3"/>
      <c r="Q520" s="3"/>
      <c r="R520" s="3"/>
      <c r="S520" s="3"/>
    </row>
    <row r="521" spans="2:19" s="2" customFormat="1" hidden="1" x14ac:dyDescent="0.25">
      <c r="B521">
        <v>10353</v>
      </c>
      <c r="C521" t="s">
        <v>205</v>
      </c>
      <c r="D521" s="6">
        <v>42687</v>
      </c>
      <c r="E521" s="6">
        <v>42715</v>
      </c>
      <c r="F521" s="6">
        <v>42699</v>
      </c>
      <c r="G521" s="3" t="s">
        <v>646</v>
      </c>
      <c r="H521" s="3">
        <v>1803.15</v>
      </c>
      <c r="I521" s="3" t="s">
        <v>366</v>
      </c>
      <c r="J521" s="3" t="str">
        <f t="shared" si="7"/>
        <v>Nov</v>
      </c>
      <c r="K521"/>
      <c r="L521"/>
      <c r="M521" s="6"/>
      <c r="N521" s="6"/>
      <c r="O521" s="6"/>
      <c r="P521" s="3"/>
      <c r="Q521" s="3"/>
      <c r="R521" s="3"/>
      <c r="S521" s="3"/>
    </row>
    <row r="522" spans="2:19" s="2" customFormat="1" hidden="1" x14ac:dyDescent="0.25">
      <c r="B522">
        <v>10392</v>
      </c>
      <c r="C522" t="s">
        <v>205</v>
      </c>
      <c r="D522" s="6">
        <v>42728</v>
      </c>
      <c r="E522" s="6">
        <v>42756</v>
      </c>
      <c r="F522" s="6">
        <v>42736</v>
      </c>
      <c r="G522" s="3" t="s">
        <v>646</v>
      </c>
      <c r="H522" s="3">
        <v>612.29999999999995</v>
      </c>
      <c r="I522" s="3" t="s">
        <v>366</v>
      </c>
      <c r="J522" s="3" t="str">
        <f t="shared" si="7"/>
        <v>Dec</v>
      </c>
      <c r="K522"/>
      <c r="L522"/>
      <c r="M522" s="6"/>
      <c r="N522" s="6"/>
      <c r="O522" s="6"/>
      <c r="P522" s="3"/>
      <c r="Q522" s="3"/>
      <c r="R522" s="3"/>
      <c r="S522" s="3"/>
    </row>
    <row r="523" spans="2:19" s="2" customFormat="1" hidden="1" x14ac:dyDescent="0.25">
      <c r="B523">
        <v>10427</v>
      </c>
      <c r="C523" t="s">
        <v>205</v>
      </c>
      <c r="D523" s="6">
        <v>42762</v>
      </c>
      <c r="E523" s="6">
        <v>42790</v>
      </c>
      <c r="F523" s="6">
        <v>42797</v>
      </c>
      <c r="G523" s="3" t="s">
        <v>645</v>
      </c>
      <c r="H523" s="3">
        <v>156.44999999999999</v>
      </c>
      <c r="I523" s="3" t="s">
        <v>366</v>
      </c>
      <c r="J523" s="3" t="str">
        <f t="shared" si="7"/>
        <v>Jan</v>
      </c>
      <c r="K523"/>
      <c r="L523"/>
      <c r="M523" s="6"/>
      <c r="N523" s="6"/>
      <c r="O523" s="6"/>
      <c r="P523" s="3"/>
      <c r="Q523" s="3"/>
      <c r="R523" s="3"/>
      <c r="S523" s="3"/>
    </row>
    <row r="524" spans="2:19" s="2" customFormat="1" hidden="1" x14ac:dyDescent="0.25">
      <c r="B524">
        <v>10489</v>
      </c>
      <c r="C524" t="s">
        <v>205</v>
      </c>
      <c r="D524" s="6">
        <v>42822</v>
      </c>
      <c r="E524" s="6">
        <v>42850</v>
      </c>
      <c r="F524" s="6">
        <v>42834</v>
      </c>
      <c r="G524" s="3" t="s">
        <v>645</v>
      </c>
      <c r="H524" s="3">
        <v>26.45</v>
      </c>
      <c r="I524" s="3" t="s">
        <v>366</v>
      </c>
      <c r="J524" s="3" t="str">
        <f t="shared" si="7"/>
        <v>Mar</v>
      </c>
      <c r="K524"/>
      <c r="L524"/>
      <c r="M524" s="6"/>
      <c r="N524" s="6"/>
      <c r="O524" s="6"/>
      <c r="P524" s="3"/>
      <c r="Q524" s="3"/>
      <c r="R524" s="3"/>
      <c r="S524" s="3"/>
    </row>
    <row r="525" spans="2:19" s="2" customFormat="1" hidden="1" x14ac:dyDescent="0.25">
      <c r="B525">
        <v>10530</v>
      </c>
      <c r="C525" t="s">
        <v>205</v>
      </c>
      <c r="D525" s="6">
        <v>42863</v>
      </c>
      <c r="E525" s="6">
        <v>42891</v>
      </c>
      <c r="F525" s="6">
        <v>42867</v>
      </c>
      <c r="G525" s="3" t="s">
        <v>645</v>
      </c>
      <c r="H525" s="3">
        <v>1696.1000000000001</v>
      </c>
      <c r="I525" s="3" t="s">
        <v>366</v>
      </c>
      <c r="J525" s="3" t="str">
        <f t="shared" si="7"/>
        <v>May</v>
      </c>
      <c r="K525"/>
      <c r="L525"/>
      <c r="M525" s="6"/>
      <c r="N525" s="6"/>
      <c r="O525" s="6"/>
      <c r="P525" s="3"/>
      <c r="Q525" s="3"/>
      <c r="R525" s="3"/>
      <c r="S525" s="3"/>
    </row>
    <row r="526" spans="2:19" s="2" customFormat="1" hidden="1" x14ac:dyDescent="0.25">
      <c r="B526">
        <v>10597</v>
      </c>
      <c r="C526" t="s">
        <v>205</v>
      </c>
      <c r="D526" s="6">
        <v>42927</v>
      </c>
      <c r="E526" s="6">
        <v>42955</v>
      </c>
      <c r="F526" s="6">
        <v>42934</v>
      </c>
      <c r="G526" s="3" t="s">
        <v>646</v>
      </c>
      <c r="H526" s="3">
        <v>175.6</v>
      </c>
      <c r="I526" s="3" t="s">
        <v>366</v>
      </c>
      <c r="J526" s="3" t="str">
        <f t="shared" si="7"/>
        <v>Jul</v>
      </c>
      <c r="K526"/>
      <c r="L526"/>
      <c r="M526" s="6"/>
      <c r="N526" s="6"/>
      <c r="O526" s="6"/>
      <c r="P526" s="3"/>
      <c r="Q526" s="3"/>
      <c r="R526" s="3"/>
      <c r="S526" s="3"/>
    </row>
    <row r="527" spans="2:19" s="2" customFormat="1" hidden="1" x14ac:dyDescent="0.25">
      <c r="B527">
        <v>10686</v>
      </c>
      <c r="C527" t="s">
        <v>205</v>
      </c>
      <c r="D527" s="6">
        <v>43008</v>
      </c>
      <c r="E527" s="6">
        <v>43036</v>
      </c>
      <c r="F527" s="6">
        <v>43016</v>
      </c>
      <c r="G527" s="3" t="s">
        <v>644</v>
      </c>
      <c r="H527" s="3">
        <v>482.5</v>
      </c>
      <c r="I527" s="3" t="s">
        <v>366</v>
      </c>
      <c r="J527" s="3" t="str">
        <f t="shared" si="7"/>
        <v>Sep</v>
      </c>
      <c r="K527"/>
      <c r="L527"/>
      <c r="M527" s="6"/>
      <c r="N527" s="6"/>
      <c r="O527" s="6"/>
      <c r="P527" s="3"/>
      <c r="Q527" s="3"/>
      <c r="R527" s="3"/>
      <c r="S527" s="3"/>
    </row>
    <row r="528" spans="2:19" s="2" customFormat="1" hidden="1" x14ac:dyDescent="0.25">
      <c r="B528">
        <v>10747</v>
      </c>
      <c r="C528" t="s">
        <v>205</v>
      </c>
      <c r="D528" s="6">
        <v>43058</v>
      </c>
      <c r="E528" s="6">
        <v>43086</v>
      </c>
      <c r="F528" s="6">
        <v>43065</v>
      </c>
      <c r="G528" s="3" t="s">
        <v>644</v>
      </c>
      <c r="H528" s="3">
        <v>586.65</v>
      </c>
      <c r="I528" s="3" t="s">
        <v>366</v>
      </c>
      <c r="J528" s="3" t="str">
        <f t="shared" si="7"/>
        <v>Nov</v>
      </c>
      <c r="K528"/>
      <c r="L528"/>
      <c r="M528" s="6"/>
      <c r="N528" s="6"/>
      <c r="O528" s="6"/>
      <c r="P528" s="3"/>
      <c r="Q528" s="3"/>
      <c r="R528" s="3"/>
      <c r="S528" s="3"/>
    </row>
    <row r="529" spans="2:19" s="2" customFormat="1" hidden="1" x14ac:dyDescent="0.25">
      <c r="B529">
        <v>10844</v>
      </c>
      <c r="C529" t="s">
        <v>205</v>
      </c>
      <c r="D529" s="6">
        <v>43121</v>
      </c>
      <c r="E529" s="6">
        <v>43149</v>
      </c>
      <c r="F529" s="6">
        <v>43126</v>
      </c>
      <c r="G529" s="3" t="s">
        <v>645</v>
      </c>
      <c r="H529" s="3">
        <v>126.1</v>
      </c>
      <c r="I529" s="3" t="s">
        <v>366</v>
      </c>
      <c r="J529" s="3" t="str">
        <f t="shared" ref="J529:J592" si="8">TEXT(D529,"mmm")</f>
        <v>Jan</v>
      </c>
      <c r="K529"/>
      <c r="L529"/>
      <c r="M529" s="6"/>
      <c r="N529" s="6"/>
      <c r="O529" s="6"/>
      <c r="P529" s="3"/>
      <c r="Q529" s="3"/>
      <c r="R529" s="3"/>
      <c r="S529" s="3"/>
    </row>
    <row r="530" spans="2:19" s="2" customFormat="1" hidden="1" x14ac:dyDescent="0.25">
      <c r="B530">
        <v>11053</v>
      </c>
      <c r="C530" t="s">
        <v>205</v>
      </c>
      <c r="D530" s="6">
        <v>43217</v>
      </c>
      <c r="E530" s="6">
        <v>43245</v>
      </c>
      <c r="F530" s="6">
        <v>43219</v>
      </c>
      <c r="G530" s="3" t="s">
        <v>645</v>
      </c>
      <c r="H530" s="3">
        <v>265.25</v>
      </c>
      <c r="I530" s="3" t="s">
        <v>366</v>
      </c>
      <c r="J530" s="3" t="str">
        <f t="shared" si="8"/>
        <v>Apr</v>
      </c>
      <c r="K530"/>
      <c r="L530"/>
      <c r="M530" s="6"/>
      <c r="N530" s="6"/>
      <c r="O530" s="6"/>
      <c r="P530" s="3"/>
      <c r="Q530" s="3"/>
      <c r="R530" s="3"/>
      <c r="S530" s="3"/>
    </row>
    <row r="531" spans="2:19" s="2" customFormat="1" hidden="1" x14ac:dyDescent="0.25">
      <c r="B531">
        <v>10336</v>
      </c>
      <c r="C531" t="s">
        <v>208</v>
      </c>
      <c r="D531" s="6">
        <v>42666</v>
      </c>
      <c r="E531" s="6">
        <v>42694</v>
      </c>
      <c r="F531" s="6">
        <v>42668</v>
      </c>
      <c r="G531" s="3" t="s">
        <v>645</v>
      </c>
      <c r="H531" s="3">
        <v>77.55</v>
      </c>
      <c r="I531" s="3" t="s">
        <v>367</v>
      </c>
      <c r="J531" s="3" t="str">
        <f t="shared" si="8"/>
        <v>Oct</v>
      </c>
      <c r="K531"/>
      <c r="L531"/>
      <c r="M531" s="6"/>
      <c r="N531" s="6"/>
      <c r="O531" s="6"/>
      <c r="P531" s="3"/>
      <c r="Q531" s="3"/>
      <c r="R531" s="3"/>
      <c r="S531" s="3"/>
    </row>
    <row r="532" spans="2:19" s="2" customFormat="1" hidden="1" x14ac:dyDescent="0.25">
      <c r="B532">
        <v>10397</v>
      </c>
      <c r="C532" t="s">
        <v>208</v>
      </c>
      <c r="D532" s="6">
        <v>42731</v>
      </c>
      <c r="E532" s="6">
        <v>42759</v>
      </c>
      <c r="F532" s="6">
        <v>42737</v>
      </c>
      <c r="G532" s="3" t="s">
        <v>644</v>
      </c>
      <c r="H532" s="3">
        <v>301.3</v>
      </c>
      <c r="I532" s="3" t="s">
        <v>367</v>
      </c>
      <c r="J532" s="3" t="str">
        <f t="shared" si="8"/>
        <v>Dec</v>
      </c>
      <c r="K532"/>
      <c r="L532"/>
      <c r="M532" s="6"/>
      <c r="N532" s="6"/>
      <c r="O532" s="6"/>
      <c r="P532" s="3"/>
      <c r="Q532" s="3"/>
      <c r="R532" s="3"/>
      <c r="S532" s="3"/>
    </row>
    <row r="533" spans="2:19" s="2" customFormat="1" hidden="1" x14ac:dyDescent="0.25">
      <c r="B533">
        <v>10433</v>
      </c>
      <c r="C533" t="s">
        <v>208</v>
      </c>
      <c r="D533" s="6">
        <v>42769</v>
      </c>
      <c r="E533" s="6">
        <v>42797</v>
      </c>
      <c r="F533" s="6">
        <v>42798</v>
      </c>
      <c r="G533" s="3" t="s">
        <v>646</v>
      </c>
      <c r="H533" s="3">
        <v>369.15</v>
      </c>
      <c r="I533" s="3" t="s">
        <v>367</v>
      </c>
      <c r="J533" s="3" t="str">
        <f t="shared" si="8"/>
        <v>Feb</v>
      </c>
      <c r="K533"/>
      <c r="L533"/>
      <c r="M533" s="6"/>
      <c r="N533" s="6"/>
      <c r="O533" s="6"/>
      <c r="P533" s="3"/>
      <c r="Q533" s="3"/>
      <c r="R533" s="3"/>
      <c r="S533" s="3"/>
    </row>
    <row r="534" spans="2:19" s="2" customFormat="1" hidden="1" x14ac:dyDescent="0.25">
      <c r="B534">
        <v>10477</v>
      </c>
      <c r="C534" t="s">
        <v>208</v>
      </c>
      <c r="D534" s="6">
        <v>42811</v>
      </c>
      <c r="E534" s="6">
        <v>42839</v>
      </c>
      <c r="F534" s="6">
        <v>42819</v>
      </c>
      <c r="G534" s="3" t="s">
        <v>645</v>
      </c>
      <c r="H534" s="3">
        <v>65.099999999999994</v>
      </c>
      <c r="I534" s="3" t="s">
        <v>367</v>
      </c>
      <c r="J534" s="3" t="str">
        <f t="shared" si="8"/>
        <v>Mar</v>
      </c>
      <c r="K534"/>
      <c r="L534"/>
      <c r="M534" s="6"/>
      <c r="N534" s="6"/>
      <c r="O534" s="6"/>
      <c r="P534" s="3"/>
      <c r="Q534" s="3"/>
      <c r="R534" s="3"/>
      <c r="S534" s="3"/>
    </row>
    <row r="535" spans="2:19" s="2" customFormat="1" hidden="1" x14ac:dyDescent="0.25">
      <c r="B535">
        <v>10808</v>
      </c>
      <c r="C535" t="s">
        <v>208</v>
      </c>
      <c r="D535" s="6">
        <v>43101</v>
      </c>
      <c r="E535" s="6">
        <v>43129</v>
      </c>
      <c r="F535" s="6">
        <v>43109</v>
      </c>
      <c r="G535" s="3" t="s">
        <v>646</v>
      </c>
      <c r="H535" s="3">
        <v>227.65</v>
      </c>
      <c r="I535" s="3" t="s">
        <v>367</v>
      </c>
      <c r="J535" s="3" t="str">
        <f t="shared" si="8"/>
        <v>Jan</v>
      </c>
      <c r="K535"/>
      <c r="L535"/>
      <c r="M535" s="6"/>
      <c r="N535" s="6"/>
      <c r="O535" s="6"/>
      <c r="P535" s="3"/>
      <c r="Q535" s="3"/>
      <c r="R535" s="3"/>
      <c r="S535" s="3"/>
    </row>
    <row r="536" spans="2:19" s="2" customFormat="1" hidden="1" x14ac:dyDescent="0.25">
      <c r="B536">
        <v>11007</v>
      </c>
      <c r="C536" t="s">
        <v>208</v>
      </c>
      <c r="D536" s="6">
        <v>43198</v>
      </c>
      <c r="E536" s="6">
        <v>43226</v>
      </c>
      <c r="F536" s="6">
        <v>43203</v>
      </c>
      <c r="G536" s="3" t="s">
        <v>645</v>
      </c>
      <c r="H536" s="3">
        <v>1011.2</v>
      </c>
      <c r="I536" s="3" t="s">
        <v>367</v>
      </c>
      <c r="J536" s="3" t="str">
        <f t="shared" si="8"/>
        <v>Apr</v>
      </c>
      <c r="K536"/>
      <c r="L536"/>
      <c r="M536" s="6"/>
      <c r="N536" s="6"/>
      <c r="O536" s="6"/>
      <c r="P536" s="3"/>
      <c r="Q536" s="3"/>
      <c r="R536" s="3"/>
      <c r="S536" s="3"/>
    </row>
    <row r="537" spans="2:19" s="2" customFormat="1" hidden="1" x14ac:dyDescent="0.25">
      <c r="B537">
        <v>10261</v>
      </c>
      <c r="C537" t="s">
        <v>210</v>
      </c>
      <c r="D537" s="6">
        <v>42570</v>
      </c>
      <c r="E537" s="6">
        <v>42598</v>
      </c>
      <c r="F537" s="6">
        <v>42581</v>
      </c>
      <c r="G537" s="3" t="s">
        <v>645</v>
      </c>
      <c r="H537" s="3">
        <v>15.25</v>
      </c>
      <c r="I537" s="3" t="s">
        <v>368</v>
      </c>
      <c r="J537" s="3" t="str">
        <f t="shared" si="8"/>
        <v>Jul</v>
      </c>
      <c r="K537"/>
      <c r="L537"/>
      <c r="M537" s="6"/>
      <c r="N537" s="6"/>
      <c r="O537" s="6"/>
      <c r="P537" s="3"/>
      <c r="Q537" s="3"/>
      <c r="R537" s="3"/>
      <c r="S537" s="3"/>
    </row>
    <row r="538" spans="2:19" s="2" customFormat="1" hidden="1" x14ac:dyDescent="0.25">
      <c r="B538">
        <v>10291</v>
      </c>
      <c r="C538" t="s">
        <v>210</v>
      </c>
      <c r="D538" s="6">
        <v>42609</v>
      </c>
      <c r="E538" s="6">
        <v>42637</v>
      </c>
      <c r="F538" s="6">
        <v>42617</v>
      </c>
      <c r="G538" s="3" t="s">
        <v>645</v>
      </c>
      <c r="H538" s="3">
        <v>32</v>
      </c>
      <c r="I538" s="3" t="s">
        <v>368</v>
      </c>
      <c r="J538" s="3" t="str">
        <f t="shared" si="8"/>
        <v>Aug</v>
      </c>
      <c r="K538"/>
      <c r="L538"/>
      <c r="M538" s="6"/>
      <c r="N538" s="6"/>
      <c r="O538" s="6"/>
      <c r="P538" s="3"/>
      <c r="Q538" s="3"/>
      <c r="R538" s="3"/>
      <c r="S538" s="3"/>
    </row>
    <row r="539" spans="2:19" s="2" customFormat="1" hidden="1" x14ac:dyDescent="0.25">
      <c r="B539">
        <v>10379</v>
      </c>
      <c r="C539" t="s">
        <v>210</v>
      </c>
      <c r="D539" s="6">
        <v>42715</v>
      </c>
      <c r="E539" s="6">
        <v>42743</v>
      </c>
      <c r="F539" s="6">
        <v>42717</v>
      </c>
      <c r="G539" s="3" t="s">
        <v>644</v>
      </c>
      <c r="H539" s="3">
        <v>225.15</v>
      </c>
      <c r="I539" s="3" t="s">
        <v>368</v>
      </c>
      <c r="J539" s="3" t="str">
        <f t="shared" si="8"/>
        <v>Dec</v>
      </c>
      <c r="K539"/>
      <c r="L539"/>
      <c r="M539" s="6"/>
      <c r="N539" s="6"/>
      <c r="O539" s="6"/>
      <c r="P539" s="3"/>
      <c r="Q539" s="3"/>
      <c r="R539" s="3"/>
      <c r="S539" s="3"/>
    </row>
    <row r="540" spans="2:19" s="2" customFormat="1" hidden="1" x14ac:dyDescent="0.25">
      <c r="B540">
        <v>10421</v>
      </c>
      <c r="C540" t="s">
        <v>210</v>
      </c>
      <c r="D540" s="6">
        <v>42756</v>
      </c>
      <c r="E540" s="6">
        <v>42798</v>
      </c>
      <c r="F540" s="6">
        <v>42762</v>
      </c>
      <c r="G540" s="3" t="s">
        <v>644</v>
      </c>
      <c r="H540" s="3">
        <v>496.15000000000003</v>
      </c>
      <c r="I540" s="3" t="s">
        <v>368</v>
      </c>
      <c r="J540" s="3" t="str">
        <f t="shared" si="8"/>
        <v>Jan</v>
      </c>
      <c r="K540"/>
      <c r="L540"/>
      <c r="M540" s="6"/>
      <c r="N540" s="6"/>
      <c r="O540" s="6"/>
      <c r="P540" s="3"/>
      <c r="Q540" s="3"/>
      <c r="R540" s="3"/>
      <c r="S540" s="3"/>
    </row>
    <row r="541" spans="2:19" s="2" customFormat="1" hidden="1" x14ac:dyDescent="0.25">
      <c r="B541">
        <v>10587</v>
      </c>
      <c r="C541" t="s">
        <v>210</v>
      </c>
      <c r="D541" s="6">
        <v>42918</v>
      </c>
      <c r="E541" s="6">
        <v>42946</v>
      </c>
      <c r="F541" s="6">
        <v>42925</v>
      </c>
      <c r="G541" s="3" t="s">
        <v>644</v>
      </c>
      <c r="H541" s="3">
        <v>312.60000000000002</v>
      </c>
      <c r="I541" s="3" t="s">
        <v>368</v>
      </c>
      <c r="J541" s="3" t="str">
        <f t="shared" si="8"/>
        <v>Jul</v>
      </c>
      <c r="K541"/>
      <c r="L541"/>
      <c r="M541" s="6"/>
      <c r="N541" s="6"/>
      <c r="O541" s="6"/>
      <c r="P541" s="3"/>
      <c r="Q541" s="3"/>
      <c r="R541" s="3"/>
      <c r="S541" s="3"/>
    </row>
    <row r="542" spans="2:19" s="2" customFormat="1" hidden="1" x14ac:dyDescent="0.25">
      <c r="B542">
        <v>10647</v>
      </c>
      <c r="C542" t="s">
        <v>210</v>
      </c>
      <c r="D542" s="6">
        <v>42974</v>
      </c>
      <c r="E542" s="6">
        <v>42988</v>
      </c>
      <c r="F542" s="6">
        <v>42981</v>
      </c>
      <c r="G542" s="3" t="s">
        <v>645</v>
      </c>
      <c r="H542" s="3">
        <v>227.7</v>
      </c>
      <c r="I542" s="3" t="s">
        <v>368</v>
      </c>
      <c r="J542" s="3" t="str">
        <f t="shared" si="8"/>
        <v>Aug</v>
      </c>
      <c r="K542"/>
      <c r="L542"/>
      <c r="M542" s="6"/>
      <c r="N542" s="6"/>
      <c r="O542" s="6"/>
      <c r="P542" s="3"/>
      <c r="Q542" s="3"/>
      <c r="R542" s="3"/>
      <c r="S542" s="3"/>
    </row>
    <row r="543" spans="2:19" s="2" customFormat="1" hidden="1" x14ac:dyDescent="0.25">
      <c r="B543">
        <v>10720</v>
      </c>
      <c r="C543" t="s">
        <v>210</v>
      </c>
      <c r="D543" s="6">
        <v>43036</v>
      </c>
      <c r="E543" s="6">
        <v>43050</v>
      </c>
      <c r="F543" s="6">
        <v>43044</v>
      </c>
      <c r="G543" s="3" t="s">
        <v>645</v>
      </c>
      <c r="H543" s="3">
        <v>47.65</v>
      </c>
      <c r="I543" s="3" t="s">
        <v>368</v>
      </c>
      <c r="J543" s="3" t="str">
        <f t="shared" si="8"/>
        <v>Oct</v>
      </c>
      <c r="K543"/>
      <c r="L543"/>
      <c r="M543" s="6"/>
      <c r="N543" s="6"/>
      <c r="O543" s="6"/>
      <c r="P543" s="3"/>
      <c r="Q543" s="3"/>
      <c r="R543" s="3"/>
      <c r="S543" s="3"/>
    </row>
    <row r="544" spans="2:19" s="2" customFormat="1" hidden="1" x14ac:dyDescent="0.25">
      <c r="B544">
        <v>10794</v>
      </c>
      <c r="C544" t="s">
        <v>210</v>
      </c>
      <c r="D544" s="6">
        <v>43093</v>
      </c>
      <c r="E544" s="6">
        <v>43121</v>
      </c>
      <c r="F544" s="6">
        <v>43102</v>
      </c>
      <c r="G544" s="3" t="s">
        <v>644</v>
      </c>
      <c r="H544" s="3">
        <v>107.44999999999999</v>
      </c>
      <c r="I544" s="3" t="s">
        <v>368</v>
      </c>
      <c r="J544" s="3" t="str">
        <f t="shared" si="8"/>
        <v>Dec</v>
      </c>
      <c r="K544"/>
      <c r="L544"/>
      <c r="M544" s="6"/>
      <c r="N544" s="6"/>
      <c r="O544" s="6"/>
      <c r="P544" s="3"/>
      <c r="Q544" s="3"/>
      <c r="R544" s="3"/>
      <c r="S544" s="3"/>
    </row>
    <row r="545" spans="2:19" s="2" customFormat="1" hidden="1" x14ac:dyDescent="0.25">
      <c r="B545">
        <v>10989</v>
      </c>
      <c r="C545" t="s">
        <v>210</v>
      </c>
      <c r="D545" s="6">
        <v>43190</v>
      </c>
      <c r="E545" s="6">
        <v>43218</v>
      </c>
      <c r="F545" s="6">
        <v>43192</v>
      </c>
      <c r="G545" s="3" t="s">
        <v>644</v>
      </c>
      <c r="H545" s="3">
        <v>173.79999999999998</v>
      </c>
      <c r="I545" s="3" t="s">
        <v>368</v>
      </c>
      <c r="J545" s="3" t="str">
        <f t="shared" si="8"/>
        <v>Mar</v>
      </c>
      <c r="K545"/>
      <c r="L545"/>
      <c r="M545" s="6"/>
      <c r="N545" s="6"/>
      <c r="O545" s="6"/>
      <c r="P545" s="3"/>
      <c r="Q545" s="3"/>
      <c r="R545" s="3"/>
      <c r="S545" s="3"/>
    </row>
    <row r="546" spans="2:19" s="2" customFormat="1" hidden="1" x14ac:dyDescent="0.25">
      <c r="B546">
        <v>10372</v>
      </c>
      <c r="C546" t="s">
        <v>213</v>
      </c>
      <c r="D546" s="6">
        <v>42708</v>
      </c>
      <c r="E546" s="6">
        <v>42736</v>
      </c>
      <c r="F546" s="6">
        <v>42713</v>
      </c>
      <c r="G546" s="3" t="s">
        <v>645</v>
      </c>
      <c r="H546" s="3">
        <v>4453.8999999999996</v>
      </c>
      <c r="I546" s="3" t="s">
        <v>369</v>
      </c>
      <c r="J546" s="3" t="str">
        <f t="shared" si="8"/>
        <v>Dec</v>
      </c>
      <c r="K546"/>
      <c r="L546"/>
      <c r="M546" s="6"/>
      <c r="N546" s="6"/>
      <c r="O546" s="6"/>
      <c r="P546" s="3"/>
      <c r="Q546" s="3"/>
      <c r="R546" s="3"/>
      <c r="S546" s="3"/>
    </row>
    <row r="547" spans="2:19" s="2" customFormat="1" hidden="1" x14ac:dyDescent="0.25">
      <c r="B547">
        <v>10406</v>
      </c>
      <c r="C547" t="s">
        <v>213</v>
      </c>
      <c r="D547" s="6">
        <v>42742</v>
      </c>
      <c r="E547" s="6">
        <v>42784</v>
      </c>
      <c r="F547" s="6">
        <v>42748</v>
      </c>
      <c r="G547" s="3" t="s">
        <v>644</v>
      </c>
      <c r="H547" s="3">
        <v>540.20000000000005</v>
      </c>
      <c r="I547" s="3" t="s">
        <v>369</v>
      </c>
      <c r="J547" s="3" t="str">
        <f t="shared" si="8"/>
        <v>Jan</v>
      </c>
      <c r="K547"/>
      <c r="L547"/>
      <c r="M547" s="6"/>
      <c r="N547" s="6"/>
      <c r="O547" s="6"/>
      <c r="P547" s="3"/>
      <c r="Q547" s="3"/>
      <c r="R547" s="3"/>
      <c r="S547" s="3"/>
    </row>
    <row r="548" spans="2:19" s="2" customFormat="1" hidden="1" x14ac:dyDescent="0.25">
      <c r="B548">
        <v>10487</v>
      </c>
      <c r="C548" t="s">
        <v>213</v>
      </c>
      <c r="D548" s="6">
        <v>42820</v>
      </c>
      <c r="E548" s="6">
        <v>42848</v>
      </c>
      <c r="F548" s="6">
        <v>42822</v>
      </c>
      <c r="G548" s="3" t="s">
        <v>645</v>
      </c>
      <c r="H548" s="3">
        <v>355.34999999999997</v>
      </c>
      <c r="I548" s="3" t="s">
        <v>369</v>
      </c>
      <c r="J548" s="3" t="str">
        <f t="shared" si="8"/>
        <v>Mar</v>
      </c>
      <c r="K548"/>
      <c r="L548"/>
      <c r="M548" s="6"/>
      <c r="N548" s="6"/>
      <c r="O548" s="6"/>
      <c r="P548" s="3"/>
      <c r="Q548" s="3"/>
      <c r="R548" s="3"/>
      <c r="S548" s="3"/>
    </row>
    <row r="549" spans="2:19" s="2" customFormat="1" hidden="1" x14ac:dyDescent="0.25">
      <c r="B549">
        <v>10637</v>
      </c>
      <c r="C549" t="s">
        <v>213</v>
      </c>
      <c r="D549" s="6">
        <v>42966</v>
      </c>
      <c r="E549" s="6">
        <v>42994</v>
      </c>
      <c r="F549" s="6">
        <v>42973</v>
      </c>
      <c r="G549" s="3" t="s">
        <v>644</v>
      </c>
      <c r="H549" s="3">
        <v>1006.4499999999999</v>
      </c>
      <c r="I549" s="3" t="s">
        <v>369</v>
      </c>
      <c r="J549" s="3" t="str">
        <f t="shared" si="8"/>
        <v>Aug</v>
      </c>
      <c r="K549"/>
      <c r="L549"/>
      <c r="M549" s="6"/>
      <c r="N549" s="6"/>
      <c r="O549" s="6"/>
      <c r="P549" s="3"/>
      <c r="Q549" s="3"/>
      <c r="R549" s="3"/>
      <c r="S549" s="3"/>
    </row>
    <row r="550" spans="2:19" s="2" customFormat="1" hidden="1" x14ac:dyDescent="0.25">
      <c r="B550">
        <v>10659</v>
      </c>
      <c r="C550" t="s">
        <v>213</v>
      </c>
      <c r="D550" s="6">
        <v>42983</v>
      </c>
      <c r="E550" s="6">
        <v>43011</v>
      </c>
      <c r="F550" s="6">
        <v>42988</v>
      </c>
      <c r="G550" s="3" t="s">
        <v>645</v>
      </c>
      <c r="H550" s="3">
        <v>529.04999999999995</v>
      </c>
      <c r="I550" s="3" t="s">
        <v>369</v>
      </c>
      <c r="J550" s="3" t="str">
        <f t="shared" si="8"/>
        <v>Sep</v>
      </c>
      <c r="K550"/>
      <c r="L550"/>
      <c r="M550" s="6"/>
      <c r="N550" s="6"/>
      <c r="O550" s="6"/>
      <c r="P550" s="3"/>
      <c r="Q550" s="3"/>
      <c r="R550" s="3"/>
      <c r="S550" s="3"/>
    </row>
    <row r="551" spans="2:19" s="2" customFormat="1" hidden="1" x14ac:dyDescent="0.25">
      <c r="B551">
        <v>10704</v>
      </c>
      <c r="C551" t="s">
        <v>213</v>
      </c>
      <c r="D551" s="6">
        <v>43022</v>
      </c>
      <c r="E551" s="6">
        <v>43050</v>
      </c>
      <c r="F551" s="6">
        <v>43046</v>
      </c>
      <c r="G551" s="3" t="s">
        <v>644</v>
      </c>
      <c r="H551" s="3">
        <v>23.900000000000002</v>
      </c>
      <c r="I551" s="3" t="s">
        <v>369</v>
      </c>
      <c r="J551" s="3" t="str">
        <f t="shared" si="8"/>
        <v>Oct</v>
      </c>
      <c r="K551"/>
      <c r="L551"/>
      <c r="M551" s="6"/>
      <c r="N551" s="6"/>
      <c r="O551" s="6"/>
      <c r="P551" s="3"/>
      <c r="Q551" s="3"/>
      <c r="R551" s="3"/>
      <c r="S551" s="3"/>
    </row>
    <row r="552" spans="2:19" s="2" customFormat="1" hidden="1" x14ac:dyDescent="0.25">
      <c r="B552">
        <v>10728</v>
      </c>
      <c r="C552" t="s">
        <v>213</v>
      </c>
      <c r="D552" s="6">
        <v>43043</v>
      </c>
      <c r="E552" s="6">
        <v>43071</v>
      </c>
      <c r="F552" s="6">
        <v>43050</v>
      </c>
      <c r="G552" s="3" t="s">
        <v>645</v>
      </c>
      <c r="H552" s="3">
        <v>291.64999999999998</v>
      </c>
      <c r="I552" s="3" t="s">
        <v>369</v>
      </c>
      <c r="J552" s="3" t="str">
        <f t="shared" si="8"/>
        <v>Nov</v>
      </c>
      <c r="K552"/>
      <c r="L552"/>
      <c r="M552" s="6"/>
      <c r="N552" s="6"/>
      <c r="O552" s="6"/>
      <c r="P552" s="3"/>
      <c r="Q552" s="3"/>
      <c r="R552" s="3"/>
      <c r="S552" s="3"/>
    </row>
    <row r="553" spans="2:19" s="2" customFormat="1" hidden="1" x14ac:dyDescent="0.25">
      <c r="B553">
        <v>10786</v>
      </c>
      <c r="C553" t="s">
        <v>213</v>
      </c>
      <c r="D553" s="6">
        <v>43088</v>
      </c>
      <c r="E553" s="6">
        <v>43116</v>
      </c>
      <c r="F553" s="6">
        <v>43092</v>
      </c>
      <c r="G553" s="3" t="s">
        <v>644</v>
      </c>
      <c r="H553" s="3">
        <v>554.35</v>
      </c>
      <c r="I553" s="3" t="s">
        <v>369</v>
      </c>
      <c r="J553" s="3" t="str">
        <f t="shared" si="8"/>
        <v>Dec</v>
      </c>
      <c r="K553"/>
      <c r="L553"/>
      <c r="M553" s="6"/>
      <c r="N553" s="6"/>
      <c r="O553" s="6"/>
      <c r="P553" s="3"/>
      <c r="Q553" s="3"/>
      <c r="R553" s="3"/>
      <c r="S553" s="3"/>
    </row>
    <row r="554" spans="2:19" s="2" customFormat="1" hidden="1" x14ac:dyDescent="0.25">
      <c r="B554">
        <v>10868</v>
      </c>
      <c r="C554" t="s">
        <v>213</v>
      </c>
      <c r="D554" s="6">
        <v>43135</v>
      </c>
      <c r="E554" s="6">
        <v>43163</v>
      </c>
      <c r="F554" s="6">
        <v>43154</v>
      </c>
      <c r="G554" s="3" t="s">
        <v>645</v>
      </c>
      <c r="H554" s="3">
        <v>956.35</v>
      </c>
      <c r="I554" s="3" t="s">
        <v>369</v>
      </c>
      <c r="J554" s="3" t="str">
        <f t="shared" si="8"/>
        <v>Feb</v>
      </c>
      <c r="K554"/>
      <c r="L554"/>
      <c r="M554" s="6"/>
      <c r="N554" s="6"/>
      <c r="O554" s="6"/>
      <c r="P554" s="3"/>
      <c r="Q554" s="3"/>
      <c r="R554" s="3"/>
      <c r="S554" s="3"/>
    </row>
    <row r="555" spans="2:19" s="2" customFormat="1" hidden="1" x14ac:dyDescent="0.25">
      <c r="B555">
        <v>10913</v>
      </c>
      <c r="C555" t="s">
        <v>213</v>
      </c>
      <c r="D555" s="6">
        <v>43157</v>
      </c>
      <c r="E555" s="6">
        <v>43185</v>
      </c>
      <c r="F555" s="6">
        <v>43163</v>
      </c>
      <c r="G555" s="3" t="s">
        <v>644</v>
      </c>
      <c r="H555" s="3">
        <v>165.25</v>
      </c>
      <c r="I555" s="3" t="s">
        <v>369</v>
      </c>
      <c r="J555" s="3" t="str">
        <f t="shared" si="8"/>
        <v>Feb</v>
      </c>
      <c r="K555"/>
      <c r="L555"/>
      <c r="M555" s="6"/>
      <c r="N555" s="6"/>
      <c r="O555" s="6"/>
      <c r="P555" s="3"/>
      <c r="Q555" s="3"/>
      <c r="R555" s="3"/>
      <c r="S555" s="3"/>
    </row>
    <row r="556" spans="2:19" s="2" customFormat="1" hidden="1" x14ac:dyDescent="0.25">
      <c r="B556">
        <v>10914</v>
      </c>
      <c r="C556" t="s">
        <v>213</v>
      </c>
      <c r="D556" s="6">
        <v>43158</v>
      </c>
      <c r="E556" s="6">
        <v>43186</v>
      </c>
      <c r="F556" s="6">
        <v>43161</v>
      </c>
      <c r="G556" s="3" t="s">
        <v>644</v>
      </c>
      <c r="H556" s="3">
        <v>105.95</v>
      </c>
      <c r="I556" s="3" t="s">
        <v>369</v>
      </c>
      <c r="J556" s="3" t="str">
        <f t="shared" si="8"/>
        <v>Feb</v>
      </c>
      <c r="K556"/>
      <c r="L556"/>
      <c r="M556" s="6"/>
      <c r="N556" s="6"/>
      <c r="O556" s="6"/>
      <c r="P556" s="3"/>
      <c r="Q556" s="3"/>
      <c r="R556" s="3"/>
      <c r="S556" s="3"/>
    </row>
    <row r="557" spans="2:19" s="2" customFormat="1" hidden="1" x14ac:dyDescent="0.25">
      <c r="B557">
        <v>10961</v>
      </c>
      <c r="C557" t="s">
        <v>213</v>
      </c>
      <c r="D557" s="6">
        <v>43178</v>
      </c>
      <c r="E557" s="6">
        <v>43206</v>
      </c>
      <c r="F557" s="6">
        <v>43189</v>
      </c>
      <c r="G557" s="3" t="s">
        <v>644</v>
      </c>
      <c r="H557" s="3">
        <v>522.35</v>
      </c>
      <c r="I557" s="3" t="s">
        <v>369</v>
      </c>
      <c r="J557" s="3" t="str">
        <f t="shared" si="8"/>
        <v>Mar</v>
      </c>
      <c r="K557"/>
      <c r="L557"/>
      <c r="M557" s="6"/>
      <c r="N557" s="6"/>
      <c r="O557" s="6"/>
      <c r="P557" s="3"/>
      <c r="Q557" s="3"/>
      <c r="R557" s="3"/>
      <c r="S557" s="3"/>
    </row>
    <row r="558" spans="2:19" s="2" customFormat="1" hidden="1" x14ac:dyDescent="0.25">
      <c r="B558">
        <v>11068</v>
      </c>
      <c r="C558" t="s">
        <v>213</v>
      </c>
      <c r="D558" s="6">
        <v>43224</v>
      </c>
      <c r="E558" s="6">
        <v>43252</v>
      </c>
      <c r="F558" s="6"/>
      <c r="G558" s="3" t="s">
        <v>645</v>
      </c>
      <c r="H558" s="3">
        <v>408.75</v>
      </c>
      <c r="I558" s="3" t="s">
        <v>369</v>
      </c>
      <c r="J558" s="3" t="str">
        <f t="shared" si="8"/>
        <v>May</v>
      </c>
      <c r="K558"/>
      <c r="L558"/>
      <c r="M558" s="6"/>
      <c r="N558" s="6"/>
      <c r="O558" s="6"/>
      <c r="P558" s="3"/>
      <c r="Q558" s="3"/>
      <c r="R558" s="3"/>
      <c r="S558" s="3"/>
    </row>
    <row r="559" spans="2:19" s="2" customFormat="1" hidden="1" x14ac:dyDescent="0.25">
      <c r="B559">
        <v>10273</v>
      </c>
      <c r="C559" t="s">
        <v>215</v>
      </c>
      <c r="D559" s="6">
        <v>42587</v>
      </c>
      <c r="E559" s="6">
        <v>42615</v>
      </c>
      <c r="F559" s="6">
        <v>42594</v>
      </c>
      <c r="G559" s="3" t="s">
        <v>646</v>
      </c>
      <c r="H559" s="3">
        <v>380.34999999999997</v>
      </c>
      <c r="I559" s="3" t="s">
        <v>10</v>
      </c>
      <c r="J559" s="3" t="str">
        <f t="shared" si="8"/>
        <v>Aug</v>
      </c>
      <c r="K559"/>
      <c r="L559"/>
      <c r="M559" s="6"/>
      <c r="N559" s="6"/>
      <c r="O559" s="6"/>
      <c r="P559" s="3"/>
      <c r="Q559" s="3"/>
      <c r="R559" s="3"/>
      <c r="S559" s="3"/>
    </row>
    <row r="560" spans="2:19" s="2" customFormat="1" hidden="1" x14ac:dyDescent="0.25">
      <c r="B560">
        <v>10285</v>
      </c>
      <c r="C560" t="s">
        <v>215</v>
      </c>
      <c r="D560" s="6">
        <v>42602</v>
      </c>
      <c r="E560" s="6">
        <v>42630</v>
      </c>
      <c r="F560" s="6">
        <v>42608</v>
      </c>
      <c r="G560" s="3" t="s">
        <v>645</v>
      </c>
      <c r="H560" s="3">
        <v>384.15</v>
      </c>
      <c r="I560" s="3" t="s">
        <v>10</v>
      </c>
      <c r="J560" s="3" t="str">
        <f t="shared" si="8"/>
        <v>Aug</v>
      </c>
      <c r="K560"/>
      <c r="L560"/>
      <c r="M560" s="6"/>
      <c r="N560" s="6"/>
      <c r="O560" s="6"/>
      <c r="P560" s="3"/>
      <c r="Q560" s="3"/>
      <c r="R560" s="3"/>
      <c r="S560" s="3"/>
    </row>
    <row r="561" spans="2:19" s="2" customFormat="1" hidden="1" x14ac:dyDescent="0.25">
      <c r="B561">
        <v>10286</v>
      </c>
      <c r="C561" t="s">
        <v>215</v>
      </c>
      <c r="D561" s="6">
        <v>42603</v>
      </c>
      <c r="E561" s="6">
        <v>42631</v>
      </c>
      <c r="F561" s="6">
        <v>42612</v>
      </c>
      <c r="G561" s="3" t="s">
        <v>646</v>
      </c>
      <c r="H561" s="3">
        <v>1146.2</v>
      </c>
      <c r="I561" s="3" t="s">
        <v>10</v>
      </c>
      <c r="J561" s="3" t="str">
        <f t="shared" si="8"/>
        <v>Aug</v>
      </c>
      <c r="K561"/>
      <c r="L561"/>
      <c r="M561" s="6"/>
      <c r="N561" s="6"/>
      <c r="O561" s="6"/>
      <c r="P561" s="3"/>
      <c r="Q561" s="3"/>
      <c r="R561" s="3"/>
      <c r="S561" s="3"/>
    </row>
    <row r="562" spans="2:19" s="2" customFormat="1" hidden="1" x14ac:dyDescent="0.25">
      <c r="B562">
        <v>10313</v>
      </c>
      <c r="C562" t="s">
        <v>215</v>
      </c>
      <c r="D562" s="6">
        <v>42637</v>
      </c>
      <c r="E562" s="6">
        <v>42665</v>
      </c>
      <c r="F562" s="6">
        <v>42647</v>
      </c>
      <c r="G562" s="3" t="s">
        <v>645</v>
      </c>
      <c r="H562" s="3">
        <v>9.8000000000000007</v>
      </c>
      <c r="I562" s="3" t="s">
        <v>10</v>
      </c>
      <c r="J562" s="3" t="str">
        <f t="shared" si="8"/>
        <v>Sep</v>
      </c>
      <c r="K562"/>
      <c r="L562"/>
      <c r="M562" s="6"/>
      <c r="N562" s="6"/>
      <c r="O562" s="6"/>
      <c r="P562" s="3"/>
      <c r="Q562" s="3"/>
      <c r="R562" s="3"/>
      <c r="S562" s="3"/>
    </row>
    <row r="563" spans="2:19" s="2" customFormat="1" hidden="1" x14ac:dyDescent="0.25">
      <c r="B563">
        <v>10345</v>
      </c>
      <c r="C563" t="s">
        <v>215</v>
      </c>
      <c r="D563" s="6">
        <v>42678</v>
      </c>
      <c r="E563" s="6">
        <v>42706</v>
      </c>
      <c r="F563" s="6">
        <v>42685</v>
      </c>
      <c r="G563" s="3" t="s">
        <v>645</v>
      </c>
      <c r="H563" s="3">
        <v>1245.3</v>
      </c>
      <c r="I563" s="3" t="s">
        <v>10</v>
      </c>
      <c r="J563" s="3" t="str">
        <f t="shared" si="8"/>
        <v>Nov</v>
      </c>
      <c r="K563"/>
      <c r="L563"/>
      <c r="M563" s="6"/>
      <c r="N563" s="6"/>
      <c r="O563" s="6"/>
      <c r="P563" s="3"/>
      <c r="Q563" s="3"/>
      <c r="R563" s="3"/>
      <c r="S563" s="3"/>
    </row>
    <row r="564" spans="2:19" s="2" customFormat="1" hidden="1" x14ac:dyDescent="0.25">
      <c r="B564">
        <v>10361</v>
      </c>
      <c r="C564" t="s">
        <v>215</v>
      </c>
      <c r="D564" s="6">
        <v>42696</v>
      </c>
      <c r="E564" s="6">
        <v>42724</v>
      </c>
      <c r="F564" s="6">
        <v>42707</v>
      </c>
      <c r="G564" s="3" t="s">
        <v>645</v>
      </c>
      <c r="H564" s="3">
        <v>915.84999999999991</v>
      </c>
      <c r="I564" s="3" t="s">
        <v>10</v>
      </c>
      <c r="J564" s="3" t="str">
        <f t="shared" si="8"/>
        <v>Nov</v>
      </c>
      <c r="K564"/>
      <c r="L564"/>
      <c r="M564" s="6"/>
      <c r="N564" s="6"/>
      <c r="O564" s="6"/>
      <c r="P564" s="3"/>
      <c r="Q564" s="3"/>
      <c r="R564" s="3"/>
      <c r="S564" s="3"/>
    </row>
    <row r="565" spans="2:19" s="2" customFormat="1" hidden="1" x14ac:dyDescent="0.25">
      <c r="B565">
        <v>10418</v>
      </c>
      <c r="C565" t="s">
        <v>215</v>
      </c>
      <c r="D565" s="6">
        <v>42752</v>
      </c>
      <c r="E565" s="6">
        <v>42780</v>
      </c>
      <c r="F565" s="6">
        <v>42759</v>
      </c>
      <c r="G565" s="3" t="s">
        <v>644</v>
      </c>
      <c r="H565" s="3">
        <v>87.75</v>
      </c>
      <c r="I565" s="3" t="s">
        <v>10</v>
      </c>
      <c r="J565" s="3" t="str">
        <f t="shared" si="8"/>
        <v>Jan</v>
      </c>
      <c r="K565"/>
      <c r="L565"/>
      <c r="M565" s="6"/>
      <c r="N565" s="6"/>
      <c r="O565" s="6"/>
      <c r="P565" s="3"/>
      <c r="Q565" s="3"/>
      <c r="R565" s="3"/>
      <c r="S565" s="3"/>
    </row>
    <row r="566" spans="2:19" s="2" customFormat="1" hidden="1" x14ac:dyDescent="0.25">
      <c r="B566">
        <v>10451</v>
      </c>
      <c r="C566" t="s">
        <v>215</v>
      </c>
      <c r="D566" s="6">
        <v>42785</v>
      </c>
      <c r="E566" s="6">
        <v>42799</v>
      </c>
      <c r="F566" s="6">
        <v>42806</v>
      </c>
      <c r="G566" s="3" t="s">
        <v>646</v>
      </c>
      <c r="H566" s="3">
        <v>945.45</v>
      </c>
      <c r="I566" s="3" t="s">
        <v>10</v>
      </c>
      <c r="J566" s="3" t="str">
        <f t="shared" si="8"/>
        <v>Feb</v>
      </c>
      <c r="K566"/>
      <c r="L566"/>
      <c r="M566" s="6"/>
      <c r="N566" s="6"/>
      <c r="O566" s="6"/>
      <c r="P566" s="3"/>
      <c r="Q566" s="3"/>
      <c r="R566" s="3"/>
      <c r="S566" s="3"/>
    </row>
    <row r="567" spans="2:19" s="2" customFormat="1" hidden="1" x14ac:dyDescent="0.25">
      <c r="B567">
        <v>10515</v>
      </c>
      <c r="C567" t="s">
        <v>215</v>
      </c>
      <c r="D567" s="6">
        <v>42848</v>
      </c>
      <c r="E567" s="6">
        <v>42862</v>
      </c>
      <c r="F567" s="6">
        <v>42878</v>
      </c>
      <c r="G567" s="3" t="s">
        <v>644</v>
      </c>
      <c r="H567" s="3">
        <v>1022.35</v>
      </c>
      <c r="I567" s="3" t="s">
        <v>10</v>
      </c>
      <c r="J567" s="3" t="str">
        <f t="shared" si="8"/>
        <v>Apr</v>
      </c>
      <c r="K567"/>
      <c r="L567"/>
      <c r="M567" s="6"/>
      <c r="N567" s="6"/>
      <c r="O567" s="6"/>
      <c r="P567" s="3"/>
      <c r="Q567" s="3"/>
      <c r="R567" s="3"/>
      <c r="S567" s="3"/>
    </row>
    <row r="568" spans="2:19" s="2" customFormat="1" hidden="1" x14ac:dyDescent="0.25">
      <c r="B568">
        <v>10527</v>
      </c>
      <c r="C568" t="s">
        <v>215</v>
      </c>
      <c r="D568" s="6">
        <v>42860</v>
      </c>
      <c r="E568" s="6">
        <v>42888</v>
      </c>
      <c r="F568" s="6">
        <v>42862</v>
      </c>
      <c r="G568" s="3" t="s">
        <v>644</v>
      </c>
      <c r="H568" s="3">
        <v>209.5</v>
      </c>
      <c r="I568" s="3" t="s">
        <v>10</v>
      </c>
      <c r="J568" s="3" t="str">
        <f t="shared" si="8"/>
        <v>May</v>
      </c>
      <c r="K568"/>
      <c r="L568"/>
      <c r="M568" s="6"/>
      <c r="N568" s="6"/>
      <c r="O568" s="6"/>
      <c r="P568" s="3"/>
      <c r="Q568" s="3"/>
      <c r="R568" s="3"/>
      <c r="S568" s="3"/>
    </row>
    <row r="569" spans="2:19" s="2" customFormat="1" hidden="1" x14ac:dyDescent="0.25">
      <c r="B569">
        <v>10540</v>
      </c>
      <c r="C569" t="s">
        <v>215</v>
      </c>
      <c r="D569" s="6">
        <v>42874</v>
      </c>
      <c r="E569" s="6">
        <v>42902</v>
      </c>
      <c r="F569" s="6">
        <v>42899</v>
      </c>
      <c r="G569" s="3" t="s">
        <v>646</v>
      </c>
      <c r="H569" s="3">
        <v>5038.2</v>
      </c>
      <c r="I569" s="3" t="s">
        <v>10</v>
      </c>
      <c r="J569" s="3" t="str">
        <f t="shared" si="8"/>
        <v>May</v>
      </c>
      <c r="K569"/>
      <c r="L569"/>
      <c r="M569" s="6"/>
      <c r="N569" s="6"/>
      <c r="O569" s="6"/>
      <c r="P569" s="3"/>
      <c r="Q569" s="3"/>
      <c r="R569" s="3"/>
      <c r="S569" s="3"/>
    </row>
    <row r="570" spans="2:19" s="2" customFormat="1" hidden="1" x14ac:dyDescent="0.25">
      <c r="B570">
        <v>10549</v>
      </c>
      <c r="C570" t="s">
        <v>215</v>
      </c>
      <c r="D570" s="6">
        <v>42882</v>
      </c>
      <c r="E570" s="6">
        <v>42896</v>
      </c>
      <c r="F570" s="6">
        <v>42885</v>
      </c>
      <c r="G570" s="3" t="s">
        <v>644</v>
      </c>
      <c r="H570" s="3">
        <v>856.2</v>
      </c>
      <c r="I570" s="3" t="s">
        <v>10</v>
      </c>
      <c r="J570" s="3" t="str">
        <f t="shared" si="8"/>
        <v>May</v>
      </c>
      <c r="K570"/>
      <c r="L570"/>
      <c r="M570" s="6"/>
      <c r="N570" s="6"/>
      <c r="O570" s="6"/>
      <c r="P570" s="3"/>
      <c r="Q570" s="3"/>
      <c r="R570" s="3"/>
      <c r="S570" s="3"/>
    </row>
    <row r="571" spans="2:19" s="2" customFormat="1" hidden="1" x14ac:dyDescent="0.25">
      <c r="B571">
        <v>10588</v>
      </c>
      <c r="C571" t="s">
        <v>215</v>
      </c>
      <c r="D571" s="6">
        <v>42919</v>
      </c>
      <c r="E571" s="6">
        <v>42947</v>
      </c>
      <c r="F571" s="6">
        <v>42926</v>
      </c>
      <c r="G571" s="3" t="s">
        <v>646</v>
      </c>
      <c r="H571" s="3">
        <v>973.34999999999991</v>
      </c>
      <c r="I571" s="3" t="s">
        <v>10</v>
      </c>
      <c r="J571" s="3" t="str">
        <f t="shared" si="8"/>
        <v>Jul</v>
      </c>
      <c r="K571"/>
      <c r="L571"/>
      <c r="M571" s="6"/>
      <c r="N571" s="6"/>
      <c r="O571" s="6"/>
      <c r="P571" s="3"/>
      <c r="Q571" s="3"/>
      <c r="R571" s="3"/>
      <c r="S571" s="3"/>
    </row>
    <row r="572" spans="2:19" s="2" customFormat="1" hidden="1" x14ac:dyDescent="0.25">
      <c r="B572">
        <v>10658</v>
      </c>
      <c r="C572" t="s">
        <v>215</v>
      </c>
      <c r="D572" s="6">
        <v>42983</v>
      </c>
      <c r="E572" s="6">
        <v>43011</v>
      </c>
      <c r="F572" s="6">
        <v>42986</v>
      </c>
      <c r="G572" s="3" t="s">
        <v>644</v>
      </c>
      <c r="H572" s="3">
        <v>1820.75</v>
      </c>
      <c r="I572" s="3" t="s">
        <v>10</v>
      </c>
      <c r="J572" s="3" t="str">
        <f t="shared" si="8"/>
        <v>Sep</v>
      </c>
      <c r="K572"/>
      <c r="L572"/>
      <c r="M572" s="6"/>
      <c r="N572" s="6"/>
      <c r="O572" s="6"/>
      <c r="P572" s="3"/>
      <c r="Q572" s="3"/>
      <c r="R572" s="3"/>
      <c r="S572" s="3"/>
    </row>
    <row r="573" spans="2:19" s="2" customFormat="1" hidden="1" x14ac:dyDescent="0.25">
      <c r="B573">
        <v>10691</v>
      </c>
      <c r="C573" t="s">
        <v>215</v>
      </c>
      <c r="D573" s="6">
        <v>43011</v>
      </c>
      <c r="E573" s="6">
        <v>43053</v>
      </c>
      <c r="F573" s="6">
        <v>43030</v>
      </c>
      <c r="G573" s="3" t="s">
        <v>645</v>
      </c>
      <c r="H573" s="3">
        <v>4050.25</v>
      </c>
      <c r="I573" s="3" t="s">
        <v>10</v>
      </c>
      <c r="J573" s="3" t="str">
        <f t="shared" si="8"/>
        <v>Oct</v>
      </c>
      <c r="K573"/>
      <c r="L573"/>
      <c r="M573" s="6"/>
      <c r="N573" s="6"/>
      <c r="O573" s="6"/>
      <c r="P573" s="3"/>
      <c r="Q573" s="3"/>
      <c r="R573" s="3"/>
      <c r="S573" s="3"/>
    </row>
    <row r="574" spans="2:19" s="2" customFormat="1" hidden="1" x14ac:dyDescent="0.25">
      <c r="B574">
        <v>10694</v>
      </c>
      <c r="C574" t="s">
        <v>215</v>
      </c>
      <c r="D574" s="6">
        <v>43014</v>
      </c>
      <c r="E574" s="6">
        <v>43042</v>
      </c>
      <c r="F574" s="6">
        <v>43017</v>
      </c>
      <c r="G574" s="3" t="s">
        <v>646</v>
      </c>
      <c r="H574" s="3">
        <v>1991.8000000000002</v>
      </c>
      <c r="I574" s="3" t="s">
        <v>10</v>
      </c>
      <c r="J574" s="3" t="str">
        <f t="shared" si="8"/>
        <v>Oct</v>
      </c>
      <c r="K574"/>
      <c r="L574"/>
      <c r="M574" s="6"/>
      <c r="N574" s="6"/>
      <c r="O574" s="6"/>
      <c r="P574" s="3"/>
      <c r="Q574" s="3"/>
      <c r="R574" s="3"/>
      <c r="S574" s="3"/>
    </row>
    <row r="575" spans="2:19" s="2" customFormat="1" hidden="1" x14ac:dyDescent="0.25">
      <c r="B575">
        <v>10721</v>
      </c>
      <c r="C575" t="s">
        <v>215</v>
      </c>
      <c r="D575" s="6">
        <v>43037</v>
      </c>
      <c r="E575" s="6">
        <v>43065</v>
      </c>
      <c r="F575" s="6">
        <v>43039</v>
      </c>
      <c r="G575" s="3" t="s">
        <v>646</v>
      </c>
      <c r="H575" s="3">
        <v>244.60000000000002</v>
      </c>
      <c r="I575" s="3" t="s">
        <v>10</v>
      </c>
      <c r="J575" s="3" t="str">
        <f t="shared" si="8"/>
        <v>Oct</v>
      </c>
      <c r="K575"/>
      <c r="L575"/>
      <c r="M575" s="6"/>
      <c r="N575" s="6"/>
      <c r="O575" s="6"/>
      <c r="P575" s="3"/>
      <c r="Q575" s="3"/>
      <c r="R575" s="3"/>
      <c r="S575" s="3"/>
    </row>
    <row r="576" spans="2:19" s="2" customFormat="1" hidden="1" x14ac:dyDescent="0.25">
      <c r="B576">
        <v>10745</v>
      </c>
      <c r="C576" t="s">
        <v>215</v>
      </c>
      <c r="D576" s="6">
        <v>43057</v>
      </c>
      <c r="E576" s="6">
        <v>43085</v>
      </c>
      <c r="F576" s="6">
        <v>43066</v>
      </c>
      <c r="G576" s="3" t="s">
        <v>644</v>
      </c>
      <c r="H576" s="3">
        <v>17.600000000000001</v>
      </c>
      <c r="I576" s="3" t="s">
        <v>10</v>
      </c>
      <c r="J576" s="3" t="str">
        <f t="shared" si="8"/>
        <v>Nov</v>
      </c>
      <c r="K576"/>
      <c r="L576"/>
      <c r="M576" s="6"/>
      <c r="N576" s="6"/>
      <c r="O576" s="6"/>
      <c r="P576" s="3"/>
      <c r="Q576" s="3"/>
      <c r="R576" s="3"/>
      <c r="S576" s="3"/>
    </row>
    <row r="577" spans="2:19" s="2" customFormat="1" hidden="1" x14ac:dyDescent="0.25">
      <c r="B577">
        <v>10765</v>
      </c>
      <c r="C577" t="s">
        <v>215</v>
      </c>
      <c r="D577" s="6">
        <v>43073</v>
      </c>
      <c r="E577" s="6">
        <v>43101</v>
      </c>
      <c r="F577" s="6">
        <v>43078</v>
      </c>
      <c r="G577" s="3" t="s">
        <v>646</v>
      </c>
      <c r="H577" s="3">
        <v>213.70000000000002</v>
      </c>
      <c r="I577" s="3" t="s">
        <v>10</v>
      </c>
      <c r="J577" s="3" t="str">
        <f t="shared" si="8"/>
        <v>Dec</v>
      </c>
      <c r="K577"/>
      <c r="L577"/>
      <c r="M577" s="6"/>
      <c r="N577" s="6"/>
      <c r="O577" s="6"/>
      <c r="P577" s="3"/>
      <c r="Q577" s="3"/>
      <c r="R577" s="3"/>
      <c r="S577" s="3"/>
    </row>
    <row r="578" spans="2:19" s="2" customFormat="1" hidden="1" x14ac:dyDescent="0.25">
      <c r="B578">
        <v>10788</v>
      </c>
      <c r="C578" t="s">
        <v>215</v>
      </c>
      <c r="D578" s="6">
        <v>43091</v>
      </c>
      <c r="E578" s="6">
        <v>43119</v>
      </c>
      <c r="F578" s="6">
        <v>43119</v>
      </c>
      <c r="G578" s="3" t="s">
        <v>645</v>
      </c>
      <c r="H578" s="3">
        <v>213.5</v>
      </c>
      <c r="I578" s="3" t="s">
        <v>10</v>
      </c>
      <c r="J578" s="3" t="str">
        <f t="shared" si="8"/>
        <v>Dec</v>
      </c>
      <c r="K578"/>
      <c r="L578"/>
      <c r="M578" s="6"/>
      <c r="N578" s="6"/>
      <c r="O578" s="6"/>
      <c r="P578" s="3"/>
      <c r="Q578" s="3"/>
      <c r="R578" s="3"/>
      <c r="S578" s="3"/>
    </row>
    <row r="579" spans="2:19" s="2" customFormat="1" hidden="1" x14ac:dyDescent="0.25">
      <c r="B579">
        <v>10845</v>
      </c>
      <c r="C579" t="s">
        <v>215</v>
      </c>
      <c r="D579" s="6">
        <v>43121</v>
      </c>
      <c r="E579" s="6">
        <v>43135</v>
      </c>
      <c r="F579" s="6">
        <v>43130</v>
      </c>
      <c r="G579" s="3" t="s">
        <v>644</v>
      </c>
      <c r="H579" s="3">
        <v>1064.8999999999999</v>
      </c>
      <c r="I579" s="3" t="s">
        <v>10</v>
      </c>
      <c r="J579" s="3" t="str">
        <f t="shared" si="8"/>
        <v>Jan</v>
      </c>
      <c r="K579"/>
      <c r="L579"/>
      <c r="M579" s="6"/>
      <c r="N579" s="6"/>
      <c r="O579" s="6"/>
      <c r="P579" s="3"/>
      <c r="Q579" s="3"/>
      <c r="R579" s="3"/>
      <c r="S579" s="3"/>
    </row>
    <row r="580" spans="2:19" s="2" customFormat="1" hidden="1" x14ac:dyDescent="0.25">
      <c r="B580">
        <v>10865</v>
      </c>
      <c r="C580" t="s">
        <v>215</v>
      </c>
      <c r="D580" s="6">
        <v>43133</v>
      </c>
      <c r="E580" s="6">
        <v>43147</v>
      </c>
      <c r="F580" s="6">
        <v>43143</v>
      </c>
      <c r="G580" s="3" t="s">
        <v>644</v>
      </c>
      <c r="H580" s="3">
        <v>1740.6999999999998</v>
      </c>
      <c r="I580" s="3" t="s">
        <v>10</v>
      </c>
      <c r="J580" s="3" t="str">
        <f t="shared" si="8"/>
        <v>Feb</v>
      </c>
      <c r="K580"/>
      <c r="L580"/>
      <c r="M580" s="6"/>
      <c r="N580" s="6"/>
      <c r="O580" s="6"/>
      <c r="P580" s="3"/>
      <c r="Q580" s="3"/>
      <c r="R580" s="3"/>
      <c r="S580" s="3"/>
    </row>
    <row r="581" spans="2:19" s="2" customFormat="1" hidden="1" x14ac:dyDescent="0.25">
      <c r="B581">
        <v>10878</v>
      </c>
      <c r="C581" t="s">
        <v>215</v>
      </c>
      <c r="D581" s="6">
        <v>43141</v>
      </c>
      <c r="E581" s="6">
        <v>43169</v>
      </c>
      <c r="F581" s="6">
        <v>43143</v>
      </c>
      <c r="G581" s="3" t="s">
        <v>644</v>
      </c>
      <c r="H581" s="3">
        <v>233.45</v>
      </c>
      <c r="I581" s="3" t="s">
        <v>10</v>
      </c>
      <c r="J581" s="3" t="str">
        <f t="shared" si="8"/>
        <v>Feb</v>
      </c>
      <c r="K581"/>
      <c r="L581"/>
      <c r="M581" s="6"/>
      <c r="N581" s="6"/>
      <c r="O581" s="6"/>
      <c r="P581" s="3"/>
      <c r="Q581" s="3"/>
      <c r="R581" s="3"/>
      <c r="S581" s="3"/>
    </row>
    <row r="582" spans="2:19" s="2" customFormat="1" hidden="1" x14ac:dyDescent="0.25">
      <c r="B582">
        <v>10938</v>
      </c>
      <c r="C582" t="s">
        <v>215</v>
      </c>
      <c r="D582" s="6">
        <v>43169</v>
      </c>
      <c r="E582" s="6">
        <v>43197</v>
      </c>
      <c r="F582" s="6">
        <v>43175</v>
      </c>
      <c r="G582" s="3" t="s">
        <v>645</v>
      </c>
      <c r="H582" s="3">
        <v>159.44999999999999</v>
      </c>
      <c r="I582" s="3" t="s">
        <v>10</v>
      </c>
      <c r="J582" s="3" t="str">
        <f t="shared" si="8"/>
        <v>Mar</v>
      </c>
      <c r="K582"/>
      <c r="L582"/>
      <c r="M582" s="6"/>
      <c r="N582" s="6"/>
      <c r="O582" s="6"/>
      <c r="P582" s="3"/>
      <c r="Q582" s="3"/>
      <c r="R582" s="3"/>
      <c r="S582" s="3"/>
    </row>
    <row r="583" spans="2:19" s="2" customFormat="1" hidden="1" x14ac:dyDescent="0.25">
      <c r="B583">
        <v>10962</v>
      </c>
      <c r="C583" t="s">
        <v>215</v>
      </c>
      <c r="D583" s="6">
        <v>43178</v>
      </c>
      <c r="E583" s="6">
        <v>43206</v>
      </c>
      <c r="F583" s="6">
        <v>43182</v>
      </c>
      <c r="G583" s="3" t="s">
        <v>645</v>
      </c>
      <c r="H583" s="3">
        <v>1378.95</v>
      </c>
      <c r="I583" s="3" t="s">
        <v>10</v>
      </c>
      <c r="J583" s="3" t="str">
        <f t="shared" si="8"/>
        <v>Mar</v>
      </c>
      <c r="K583"/>
      <c r="L583"/>
      <c r="M583" s="6"/>
      <c r="N583" s="6"/>
      <c r="O583" s="6"/>
      <c r="P583" s="3"/>
      <c r="Q583" s="3"/>
      <c r="R583" s="3"/>
      <c r="S583" s="3"/>
    </row>
    <row r="584" spans="2:19" s="2" customFormat="1" hidden="1" x14ac:dyDescent="0.25">
      <c r="B584">
        <v>10991</v>
      </c>
      <c r="C584" t="s">
        <v>215</v>
      </c>
      <c r="D584" s="6">
        <v>43191</v>
      </c>
      <c r="E584" s="6">
        <v>43219</v>
      </c>
      <c r="F584" s="6">
        <v>43197</v>
      </c>
      <c r="G584" s="3" t="s">
        <v>644</v>
      </c>
      <c r="H584" s="3">
        <v>192.54999999999998</v>
      </c>
      <c r="I584" s="3" t="s">
        <v>10</v>
      </c>
      <c r="J584" s="3" t="str">
        <f t="shared" si="8"/>
        <v>Apr</v>
      </c>
      <c r="K584"/>
      <c r="L584"/>
      <c r="M584" s="6"/>
      <c r="N584" s="6"/>
      <c r="O584" s="6"/>
      <c r="P584" s="3"/>
      <c r="Q584" s="3"/>
      <c r="R584" s="3"/>
      <c r="S584" s="3"/>
    </row>
    <row r="585" spans="2:19" s="2" customFormat="1" hidden="1" x14ac:dyDescent="0.25">
      <c r="B585">
        <v>10996</v>
      </c>
      <c r="C585" t="s">
        <v>215</v>
      </c>
      <c r="D585" s="6">
        <v>43192</v>
      </c>
      <c r="E585" s="6">
        <v>43220</v>
      </c>
      <c r="F585" s="6">
        <v>43200</v>
      </c>
      <c r="G585" s="3" t="s">
        <v>645</v>
      </c>
      <c r="H585" s="3">
        <v>5.6000000000000005</v>
      </c>
      <c r="I585" s="3" t="s">
        <v>10</v>
      </c>
      <c r="J585" s="3" t="str">
        <f t="shared" si="8"/>
        <v>Apr</v>
      </c>
      <c r="K585"/>
      <c r="L585"/>
      <c r="M585" s="6"/>
      <c r="N585" s="6"/>
      <c r="O585" s="6"/>
      <c r="P585" s="3"/>
      <c r="Q585" s="3"/>
      <c r="R585" s="3"/>
      <c r="S585" s="3"/>
    </row>
    <row r="586" spans="2:19" s="2" customFormat="1" hidden="1" x14ac:dyDescent="0.25">
      <c r="B586">
        <v>11021</v>
      </c>
      <c r="C586" t="s">
        <v>215</v>
      </c>
      <c r="D586" s="6">
        <v>43204</v>
      </c>
      <c r="E586" s="6">
        <v>43232</v>
      </c>
      <c r="F586" s="6">
        <v>43211</v>
      </c>
      <c r="G586" s="3" t="s">
        <v>644</v>
      </c>
      <c r="H586" s="3">
        <v>1485.9</v>
      </c>
      <c r="I586" s="3" t="s">
        <v>10</v>
      </c>
      <c r="J586" s="3" t="str">
        <f t="shared" si="8"/>
        <v>Apr</v>
      </c>
      <c r="K586"/>
      <c r="L586"/>
      <c r="M586" s="6"/>
      <c r="N586" s="6"/>
      <c r="O586" s="6"/>
      <c r="P586" s="3"/>
      <c r="Q586" s="3"/>
      <c r="R586" s="3"/>
      <c r="S586" s="3"/>
    </row>
    <row r="587" spans="2:19" s="2" customFormat="1" hidden="1" x14ac:dyDescent="0.25">
      <c r="B587">
        <v>10448</v>
      </c>
      <c r="C587" t="s">
        <v>217</v>
      </c>
      <c r="D587" s="6">
        <v>42783</v>
      </c>
      <c r="E587" s="6">
        <v>42811</v>
      </c>
      <c r="F587" s="6">
        <v>42790</v>
      </c>
      <c r="G587" s="3" t="s">
        <v>645</v>
      </c>
      <c r="H587" s="3">
        <v>194.1</v>
      </c>
      <c r="I587" s="3" t="s">
        <v>9</v>
      </c>
      <c r="J587" s="3" t="str">
        <f t="shared" si="8"/>
        <v>Feb</v>
      </c>
      <c r="K587"/>
      <c r="L587"/>
      <c r="M587" s="6"/>
      <c r="N587" s="6"/>
      <c r="O587" s="6"/>
      <c r="P587" s="3"/>
      <c r="Q587" s="3"/>
      <c r="R587" s="3"/>
      <c r="S587" s="3"/>
    </row>
    <row r="588" spans="2:19" s="2" customFormat="1" hidden="1" x14ac:dyDescent="0.25">
      <c r="B588">
        <v>10716</v>
      </c>
      <c r="C588" t="s">
        <v>217</v>
      </c>
      <c r="D588" s="6">
        <v>43032</v>
      </c>
      <c r="E588" s="6">
        <v>43060</v>
      </c>
      <c r="F588" s="6">
        <v>43035</v>
      </c>
      <c r="G588" s="3" t="s">
        <v>645</v>
      </c>
      <c r="H588" s="3">
        <v>112.85</v>
      </c>
      <c r="I588" s="3" t="s">
        <v>9</v>
      </c>
      <c r="J588" s="3" t="str">
        <f t="shared" si="8"/>
        <v>Oct</v>
      </c>
      <c r="K588"/>
      <c r="L588"/>
      <c r="M588" s="6"/>
      <c r="N588" s="6"/>
      <c r="O588" s="6"/>
      <c r="P588" s="3"/>
      <c r="Q588" s="3"/>
      <c r="R588" s="3"/>
      <c r="S588" s="3"/>
    </row>
    <row r="589" spans="2:19" s="2" customFormat="1" hidden="1" x14ac:dyDescent="0.25">
      <c r="B589">
        <v>10828</v>
      </c>
      <c r="C589" t="s">
        <v>217</v>
      </c>
      <c r="D589" s="6">
        <v>43113</v>
      </c>
      <c r="E589" s="6">
        <v>43127</v>
      </c>
      <c r="F589" s="6">
        <v>43135</v>
      </c>
      <c r="G589" s="3" t="s">
        <v>644</v>
      </c>
      <c r="H589" s="3">
        <v>454.25</v>
      </c>
      <c r="I589" s="3" t="s">
        <v>9</v>
      </c>
      <c r="J589" s="3" t="str">
        <f t="shared" si="8"/>
        <v>Jan</v>
      </c>
      <c r="K589"/>
      <c r="L589"/>
      <c r="M589" s="6"/>
      <c r="N589" s="6"/>
      <c r="O589" s="6"/>
      <c r="P589" s="3"/>
      <c r="Q589" s="3"/>
      <c r="R589" s="3"/>
      <c r="S589" s="3"/>
    </row>
    <row r="590" spans="2:19" s="2" customFormat="1" hidden="1" x14ac:dyDescent="0.25">
      <c r="B590">
        <v>10916</v>
      </c>
      <c r="C590" t="s">
        <v>217</v>
      </c>
      <c r="D590" s="6">
        <v>43158</v>
      </c>
      <c r="E590" s="6">
        <v>43186</v>
      </c>
      <c r="F590" s="6">
        <v>43168</v>
      </c>
      <c r="G590" s="3" t="s">
        <v>645</v>
      </c>
      <c r="H590" s="3">
        <v>318.85000000000002</v>
      </c>
      <c r="I590" s="3" t="s">
        <v>9</v>
      </c>
      <c r="J590" s="3" t="str">
        <f t="shared" si="8"/>
        <v>Feb</v>
      </c>
      <c r="K590"/>
      <c r="L590"/>
      <c r="M590" s="6"/>
      <c r="N590" s="6"/>
      <c r="O590" s="6"/>
      <c r="P590" s="3"/>
      <c r="Q590" s="3"/>
      <c r="R590" s="3"/>
      <c r="S590" s="3"/>
    </row>
    <row r="591" spans="2:19" s="2" customFormat="1" hidden="1" x14ac:dyDescent="0.25">
      <c r="B591">
        <v>11019</v>
      </c>
      <c r="C591" t="s">
        <v>217</v>
      </c>
      <c r="D591" s="6">
        <v>43203</v>
      </c>
      <c r="E591" s="6">
        <v>43231</v>
      </c>
      <c r="F591" s="6"/>
      <c r="G591" s="3" t="s">
        <v>646</v>
      </c>
      <c r="H591" s="3">
        <v>15.85</v>
      </c>
      <c r="I591" s="3" t="s">
        <v>9</v>
      </c>
      <c r="J591" s="3" t="str">
        <f t="shared" si="8"/>
        <v>Apr</v>
      </c>
      <c r="K591"/>
      <c r="L591"/>
      <c r="M591" s="6"/>
      <c r="N591" s="6"/>
      <c r="O591" s="6"/>
      <c r="P591" s="3"/>
      <c r="Q591" s="3"/>
      <c r="R591" s="3"/>
      <c r="S591" s="3"/>
    </row>
    <row r="592" spans="2:19" s="2" customFormat="1" hidden="1" x14ac:dyDescent="0.25">
      <c r="B592">
        <v>10262</v>
      </c>
      <c r="C592" t="s">
        <v>220</v>
      </c>
      <c r="D592" s="6">
        <v>42573</v>
      </c>
      <c r="E592" s="6">
        <v>42601</v>
      </c>
      <c r="F592" s="6">
        <v>42576</v>
      </c>
      <c r="G592" s="3" t="s">
        <v>646</v>
      </c>
      <c r="H592" s="3">
        <v>241.45</v>
      </c>
      <c r="I592" s="3" t="s">
        <v>370</v>
      </c>
      <c r="J592" s="3" t="str">
        <f t="shared" si="8"/>
        <v>Jul</v>
      </c>
      <c r="K592"/>
      <c r="L592"/>
      <c r="M592" s="6"/>
      <c r="N592" s="6"/>
      <c r="O592" s="6"/>
      <c r="P592" s="3"/>
      <c r="Q592" s="3"/>
      <c r="R592" s="3"/>
      <c r="S592" s="3"/>
    </row>
    <row r="593" spans="2:19" s="2" customFormat="1" hidden="1" x14ac:dyDescent="0.25">
      <c r="B593">
        <v>10272</v>
      </c>
      <c r="C593" t="s">
        <v>220</v>
      </c>
      <c r="D593" s="6">
        <v>42584</v>
      </c>
      <c r="E593" s="6">
        <v>42612</v>
      </c>
      <c r="F593" s="6">
        <v>42588</v>
      </c>
      <c r="G593" s="3" t="s">
        <v>645</v>
      </c>
      <c r="H593" s="3">
        <v>490.15</v>
      </c>
      <c r="I593" s="3" t="s">
        <v>370</v>
      </c>
      <c r="J593" s="3" t="str">
        <f t="shared" ref="J593:J656" si="9">TEXT(D593,"mmm")</f>
        <v>Aug</v>
      </c>
      <c r="K593"/>
      <c r="L593"/>
      <c r="M593" s="6"/>
      <c r="N593" s="6"/>
      <c r="O593" s="6"/>
      <c r="P593" s="3"/>
      <c r="Q593" s="3"/>
      <c r="R593" s="3"/>
      <c r="S593" s="3"/>
    </row>
    <row r="594" spans="2:19" s="2" customFormat="1" hidden="1" x14ac:dyDescent="0.25">
      <c r="B594">
        <v>10294</v>
      </c>
      <c r="C594" t="s">
        <v>220</v>
      </c>
      <c r="D594" s="6">
        <v>42612</v>
      </c>
      <c r="E594" s="6">
        <v>42640</v>
      </c>
      <c r="F594" s="6">
        <v>42618</v>
      </c>
      <c r="G594" s="3" t="s">
        <v>645</v>
      </c>
      <c r="H594" s="3">
        <v>736.3</v>
      </c>
      <c r="I594" s="3" t="s">
        <v>370</v>
      </c>
      <c r="J594" s="3" t="str">
        <f t="shared" si="9"/>
        <v>Aug</v>
      </c>
      <c r="K594"/>
      <c r="L594"/>
      <c r="M594" s="6"/>
      <c r="N594" s="6"/>
      <c r="O594" s="6"/>
      <c r="P594" s="3"/>
      <c r="Q594" s="3"/>
      <c r="R594" s="3"/>
      <c r="S594" s="3"/>
    </row>
    <row r="595" spans="2:19" s="2" customFormat="1" hidden="1" x14ac:dyDescent="0.25">
      <c r="B595">
        <v>10314</v>
      </c>
      <c r="C595" t="s">
        <v>220</v>
      </c>
      <c r="D595" s="6">
        <v>42638</v>
      </c>
      <c r="E595" s="6">
        <v>42666</v>
      </c>
      <c r="F595" s="6">
        <v>42647</v>
      </c>
      <c r="G595" s="3" t="s">
        <v>645</v>
      </c>
      <c r="H595" s="3">
        <v>370.79999999999995</v>
      </c>
      <c r="I595" s="3" t="s">
        <v>370</v>
      </c>
      <c r="J595" s="3" t="str">
        <f t="shared" si="9"/>
        <v>Sep</v>
      </c>
      <c r="K595"/>
      <c r="L595"/>
      <c r="M595" s="6"/>
      <c r="N595" s="6"/>
      <c r="O595" s="6"/>
      <c r="P595" s="3"/>
      <c r="Q595" s="3"/>
      <c r="R595" s="3"/>
      <c r="S595" s="3"/>
    </row>
    <row r="596" spans="2:19" s="2" customFormat="1" hidden="1" x14ac:dyDescent="0.25">
      <c r="B596">
        <v>10316</v>
      </c>
      <c r="C596" t="s">
        <v>220</v>
      </c>
      <c r="D596" s="6">
        <v>42640</v>
      </c>
      <c r="E596" s="6">
        <v>42668</v>
      </c>
      <c r="F596" s="6">
        <v>42651</v>
      </c>
      <c r="G596" s="3" t="s">
        <v>646</v>
      </c>
      <c r="H596" s="3">
        <v>750.75</v>
      </c>
      <c r="I596" s="3" t="s">
        <v>370</v>
      </c>
      <c r="J596" s="3" t="str">
        <f t="shared" si="9"/>
        <v>Sep</v>
      </c>
      <c r="K596"/>
      <c r="L596"/>
      <c r="M596" s="6"/>
      <c r="N596" s="6"/>
      <c r="O596" s="6"/>
      <c r="P596" s="3"/>
      <c r="Q596" s="3"/>
      <c r="R596" s="3"/>
      <c r="S596" s="3"/>
    </row>
    <row r="597" spans="2:19" s="2" customFormat="1" hidden="1" x14ac:dyDescent="0.25">
      <c r="B597">
        <v>10346</v>
      </c>
      <c r="C597" t="s">
        <v>220</v>
      </c>
      <c r="D597" s="6">
        <v>42679</v>
      </c>
      <c r="E597" s="6">
        <v>42721</v>
      </c>
      <c r="F597" s="6">
        <v>42682</v>
      </c>
      <c r="G597" s="3" t="s">
        <v>646</v>
      </c>
      <c r="H597" s="3">
        <v>710.40000000000009</v>
      </c>
      <c r="I597" s="3" t="s">
        <v>370</v>
      </c>
      <c r="J597" s="3" t="str">
        <f t="shared" si="9"/>
        <v>Nov</v>
      </c>
      <c r="K597"/>
      <c r="L597"/>
      <c r="M597" s="6"/>
      <c r="N597" s="6"/>
      <c r="O597" s="6"/>
      <c r="P597" s="3"/>
      <c r="Q597" s="3"/>
      <c r="R597" s="3"/>
      <c r="S597" s="3"/>
    </row>
    <row r="598" spans="2:19" s="2" customFormat="1" hidden="1" x14ac:dyDescent="0.25">
      <c r="B598">
        <v>10401</v>
      </c>
      <c r="C598" t="s">
        <v>220</v>
      </c>
      <c r="D598" s="6">
        <v>42736</v>
      </c>
      <c r="E598" s="6">
        <v>42764</v>
      </c>
      <c r="F598" s="6">
        <v>42745</v>
      </c>
      <c r="G598" s="3" t="s">
        <v>644</v>
      </c>
      <c r="H598" s="3">
        <v>62.55</v>
      </c>
      <c r="I598" s="3" t="s">
        <v>370</v>
      </c>
      <c r="J598" s="3" t="str">
        <f t="shared" si="9"/>
        <v>Jan</v>
      </c>
      <c r="K598"/>
      <c r="L598"/>
      <c r="M598" s="6"/>
      <c r="N598" s="6"/>
      <c r="O598" s="6"/>
      <c r="P598" s="3"/>
      <c r="Q598" s="3"/>
      <c r="R598" s="3"/>
      <c r="S598" s="3"/>
    </row>
    <row r="599" spans="2:19" s="2" customFormat="1" hidden="1" x14ac:dyDescent="0.25">
      <c r="B599">
        <v>10479</v>
      </c>
      <c r="C599" t="s">
        <v>220</v>
      </c>
      <c r="D599" s="6">
        <v>42813</v>
      </c>
      <c r="E599" s="6">
        <v>42841</v>
      </c>
      <c r="F599" s="6">
        <v>42815</v>
      </c>
      <c r="G599" s="3" t="s">
        <v>646</v>
      </c>
      <c r="H599" s="3">
        <v>3544.75</v>
      </c>
      <c r="I599" s="3" t="s">
        <v>370</v>
      </c>
      <c r="J599" s="3" t="str">
        <f t="shared" si="9"/>
        <v>Mar</v>
      </c>
      <c r="K599"/>
      <c r="L599"/>
      <c r="M599" s="6"/>
      <c r="N599" s="6"/>
      <c r="O599" s="6"/>
      <c r="P599" s="3"/>
      <c r="Q599" s="3"/>
      <c r="R599" s="3"/>
      <c r="S599" s="3"/>
    </row>
    <row r="600" spans="2:19" s="2" customFormat="1" hidden="1" x14ac:dyDescent="0.25">
      <c r="B600">
        <v>10564</v>
      </c>
      <c r="C600" t="s">
        <v>220</v>
      </c>
      <c r="D600" s="6">
        <v>42896</v>
      </c>
      <c r="E600" s="6">
        <v>42924</v>
      </c>
      <c r="F600" s="6">
        <v>42902</v>
      </c>
      <c r="G600" s="3" t="s">
        <v>646</v>
      </c>
      <c r="H600" s="3">
        <v>68.75</v>
      </c>
      <c r="I600" s="3" t="s">
        <v>370</v>
      </c>
      <c r="J600" s="3" t="str">
        <f t="shared" si="9"/>
        <v>Jun</v>
      </c>
      <c r="K600"/>
      <c r="L600"/>
      <c r="M600" s="6"/>
      <c r="N600" s="6"/>
      <c r="O600" s="6"/>
      <c r="P600" s="3"/>
      <c r="Q600" s="3"/>
      <c r="R600" s="3"/>
      <c r="S600" s="3"/>
    </row>
    <row r="601" spans="2:19" s="2" customFormat="1" hidden="1" x14ac:dyDescent="0.25">
      <c r="B601">
        <v>10569</v>
      </c>
      <c r="C601" t="s">
        <v>220</v>
      </c>
      <c r="D601" s="6">
        <v>42902</v>
      </c>
      <c r="E601" s="6">
        <v>42930</v>
      </c>
      <c r="F601" s="6">
        <v>42927</v>
      </c>
      <c r="G601" s="3" t="s">
        <v>644</v>
      </c>
      <c r="H601" s="3">
        <v>294.89999999999998</v>
      </c>
      <c r="I601" s="3" t="s">
        <v>370</v>
      </c>
      <c r="J601" s="3" t="str">
        <f t="shared" si="9"/>
        <v>Jun</v>
      </c>
      <c r="K601"/>
      <c r="L601"/>
      <c r="M601" s="6"/>
      <c r="N601" s="6"/>
      <c r="O601" s="6"/>
      <c r="P601" s="3"/>
      <c r="Q601" s="3"/>
      <c r="R601" s="3"/>
      <c r="S601" s="3"/>
    </row>
    <row r="602" spans="2:19" s="2" customFormat="1" hidden="1" x14ac:dyDescent="0.25">
      <c r="B602">
        <v>10598</v>
      </c>
      <c r="C602" t="s">
        <v>220</v>
      </c>
      <c r="D602" s="6">
        <v>42930</v>
      </c>
      <c r="E602" s="6">
        <v>42958</v>
      </c>
      <c r="F602" s="6">
        <v>42934</v>
      </c>
      <c r="G602" s="3" t="s">
        <v>646</v>
      </c>
      <c r="H602" s="3">
        <v>222.10000000000002</v>
      </c>
      <c r="I602" s="3" t="s">
        <v>370</v>
      </c>
      <c r="J602" s="3" t="str">
        <f t="shared" si="9"/>
        <v>Jul</v>
      </c>
      <c r="K602"/>
      <c r="L602"/>
      <c r="M602" s="6"/>
      <c r="N602" s="6"/>
      <c r="O602" s="6"/>
      <c r="P602" s="3"/>
      <c r="Q602" s="3"/>
      <c r="R602" s="3"/>
      <c r="S602" s="3"/>
    </row>
    <row r="603" spans="2:19" s="2" customFormat="1" hidden="1" x14ac:dyDescent="0.25">
      <c r="B603">
        <v>10761</v>
      </c>
      <c r="C603" t="s">
        <v>220</v>
      </c>
      <c r="D603" s="6">
        <v>43071</v>
      </c>
      <c r="E603" s="6">
        <v>43099</v>
      </c>
      <c r="F603" s="6">
        <v>43077</v>
      </c>
      <c r="G603" s="3" t="s">
        <v>645</v>
      </c>
      <c r="H603" s="3">
        <v>93.3</v>
      </c>
      <c r="I603" s="3" t="s">
        <v>370</v>
      </c>
      <c r="J603" s="3" t="str">
        <f t="shared" si="9"/>
        <v>Dec</v>
      </c>
      <c r="K603"/>
      <c r="L603"/>
      <c r="M603" s="6"/>
      <c r="N603" s="6"/>
      <c r="O603" s="6"/>
      <c r="P603" s="3"/>
      <c r="Q603" s="3"/>
      <c r="R603" s="3"/>
      <c r="S603" s="3"/>
    </row>
    <row r="604" spans="2:19" s="2" customFormat="1" hidden="1" x14ac:dyDescent="0.25">
      <c r="B604">
        <v>10820</v>
      </c>
      <c r="C604" t="s">
        <v>220</v>
      </c>
      <c r="D604" s="6">
        <v>43107</v>
      </c>
      <c r="E604" s="6">
        <v>43135</v>
      </c>
      <c r="F604" s="6">
        <v>43113</v>
      </c>
      <c r="G604" s="3" t="s">
        <v>645</v>
      </c>
      <c r="H604" s="3">
        <v>187.60000000000002</v>
      </c>
      <c r="I604" s="3" t="s">
        <v>370</v>
      </c>
      <c r="J604" s="3" t="str">
        <f t="shared" si="9"/>
        <v>Jan</v>
      </c>
      <c r="K604"/>
      <c r="L604"/>
      <c r="M604" s="6"/>
      <c r="N604" s="6"/>
      <c r="O604" s="6"/>
      <c r="P604" s="3"/>
      <c r="Q604" s="3"/>
      <c r="R604" s="3"/>
      <c r="S604" s="3"/>
    </row>
    <row r="605" spans="2:19" s="2" customFormat="1" hidden="1" x14ac:dyDescent="0.25">
      <c r="B605">
        <v>10852</v>
      </c>
      <c r="C605" t="s">
        <v>220</v>
      </c>
      <c r="D605" s="6">
        <v>43126</v>
      </c>
      <c r="E605" s="6">
        <v>43140</v>
      </c>
      <c r="F605" s="6">
        <v>43130</v>
      </c>
      <c r="G605" s="3" t="s">
        <v>644</v>
      </c>
      <c r="H605" s="3">
        <v>870.25</v>
      </c>
      <c r="I605" s="3" t="s">
        <v>370</v>
      </c>
      <c r="J605" s="3" t="str">
        <f t="shared" si="9"/>
        <v>Jan</v>
      </c>
      <c r="K605"/>
      <c r="L605"/>
      <c r="M605" s="6"/>
      <c r="N605" s="6"/>
      <c r="O605" s="6"/>
      <c r="P605" s="3"/>
      <c r="Q605" s="3"/>
      <c r="R605" s="3"/>
      <c r="S605" s="3"/>
    </row>
    <row r="606" spans="2:19" s="2" customFormat="1" hidden="1" x14ac:dyDescent="0.25">
      <c r="B606">
        <v>10889</v>
      </c>
      <c r="C606" t="s">
        <v>220</v>
      </c>
      <c r="D606" s="6">
        <v>43147</v>
      </c>
      <c r="E606" s="6">
        <v>43175</v>
      </c>
      <c r="F606" s="6">
        <v>43154</v>
      </c>
      <c r="G606" s="3" t="s">
        <v>646</v>
      </c>
      <c r="H606" s="3">
        <v>1403.0500000000002</v>
      </c>
      <c r="I606" s="3" t="s">
        <v>370</v>
      </c>
      <c r="J606" s="3" t="str">
        <f t="shared" si="9"/>
        <v>Feb</v>
      </c>
      <c r="K606"/>
      <c r="L606"/>
      <c r="M606" s="6"/>
      <c r="N606" s="6"/>
      <c r="O606" s="6"/>
      <c r="P606" s="3"/>
      <c r="Q606" s="3"/>
      <c r="R606" s="3"/>
      <c r="S606" s="3"/>
    </row>
    <row r="607" spans="2:19" s="2" customFormat="1" hidden="1" x14ac:dyDescent="0.25">
      <c r="B607">
        <v>10988</v>
      </c>
      <c r="C607" t="s">
        <v>220</v>
      </c>
      <c r="D607" s="6">
        <v>43190</v>
      </c>
      <c r="E607" s="6">
        <v>43218</v>
      </c>
      <c r="F607" s="6">
        <v>43200</v>
      </c>
      <c r="G607" s="3" t="s">
        <v>645</v>
      </c>
      <c r="H607" s="3">
        <v>305.7</v>
      </c>
      <c r="I607" s="3" t="s">
        <v>370</v>
      </c>
      <c r="J607" s="3" t="str">
        <f t="shared" si="9"/>
        <v>Mar</v>
      </c>
      <c r="K607"/>
      <c r="L607"/>
      <c r="M607" s="6"/>
      <c r="N607" s="6"/>
      <c r="O607" s="6"/>
      <c r="P607" s="3"/>
      <c r="Q607" s="3"/>
      <c r="R607" s="3"/>
      <c r="S607" s="3"/>
    </row>
    <row r="608" spans="2:19" s="2" customFormat="1" hidden="1" x14ac:dyDescent="0.25">
      <c r="B608">
        <v>11000</v>
      </c>
      <c r="C608" t="s">
        <v>220</v>
      </c>
      <c r="D608" s="6">
        <v>43196</v>
      </c>
      <c r="E608" s="6">
        <v>43224</v>
      </c>
      <c r="F608" s="6">
        <v>43204</v>
      </c>
      <c r="G608" s="3" t="s">
        <v>646</v>
      </c>
      <c r="H608" s="3">
        <v>275.59999999999997</v>
      </c>
      <c r="I608" s="3" t="s">
        <v>370</v>
      </c>
      <c r="J608" s="3" t="str">
        <f t="shared" si="9"/>
        <v>Apr</v>
      </c>
      <c r="K608"/>
      <c r="L608"/>
      <c r="M608" s="6"/>
      <c r="N608" s="6"/>
      <c r="O608" s="6"/>
      <c r="P608" s="3"/>
      <c r="Q608" s="3"/>
      <c r="R608" s="3"/>
      <c r="S608" s="3"/>
    </row>
    <row r="609" spans="2:19" s="2" customFormat="1" hidden="1" x14ac:dyDescent="0.25">
      <c r="B609">
        <v>11077</v>
      </c>
      <c r="C609" t="s">
        <v>220</v>
      </c>
      <c r="D609" s="6">
        <v>43226</v>
      </c>
      <c r="E609" s="6">
        <v>43254</v>
      </c>
      <c r="F609" s="6"/>
      <c r="G609" s="3" t="s">
        <v>645</v>
      </c>
      <c r="H609" s="3">
        <v>42.65</v>
      </c>
      <c r="I609" s="3" t="s">
        <v>370</v>
      </c>
      <c r="J609" s="3" t="str">
        <f t="shared" si="9"/>
        <v>May</v>
      </c>
      <c r="K609"/>
      <c r="L609"/>
      <c r="M609" s="6"/>
      <c r="N609" s="6"/>
      <c r="O609" s="6"/>
      <c r="P609" s="3"/>
      <c r="Q609" s="3"/>
      <c r="R609" s="3"/>
      <c r="S609" s="3"/>
    </row>
    <row r="610" spans="2:19" s="2" customFormat="1" hidden="1" x14ac:dyDescent="0.25">
      <c r="B610">
        <v>10288</v>
      </c>
      <c r="C610" t="s">
        <v>225</v>
      </c>
      <c r="D610" s="6">
        <v>42605</v>
      </c>
      <c r="E610" s="6">
        <v>42633</v>
      </c>
      <c r="F610" s="6">
        <v>42616</v>
      </c>
      <c r="G610" s="3" t="s">
        <v>644</v>
      </c>
      <c r="H610" s="3">
        <v>37.25</v>
      </c>
      <c r="I610" s="3" t="s">
        <v>371</v>
      </c>
      <c r="J610" s="3" t="str">
        <f t="shared" si="9"/>
        <v>Aug</v>
      </c>
      <c r="K610"/>
      <c r="L610"/>
      <c r="M610" s="6"/>
      <c r="N610" s="6"/>
      <c r="O610" s="6"/>
      <c r="P610" s="3"/>
      <c r="Q610" s="3"/>
      <c r="R610" s="3"/>
      <c r="S610" s="3"/>
    </row>
    <row r="611" spans="2:19" s="2" customFormat="1" hidden="1" x14ac:dyDescent="0.25">
      <c r="B611">
        <v>10428</v>
      </c>
      <c r="C611" t="s">
        <v>225</v>
      </c>
      <c r="D611" s="6">
        <v>42763</v>
      </c>
      <c r="E611" s="6">
        <v>42791</v>
      </c>
      <c r="F611" s="6">
        <v>42770</v>
      </c>
      <c r="G611" s="3" t="s">
        <v>644</v>
      </c>
      <c r="H611" s="3">
        <v>55.45</v>
      </c>
      <c r="I611" s="3" t="s">
        <v>371</v>
      </c>
      <c r="J611" s="3" t="str">
        <f t="shared" si="9"/>
        <v>Jan</v>
      </c>
      <c r="K611"/>
      <c r="L611"/>
      <c r="M611" s="6"/>
      <c r="N611" s="6"/>
      <c r="O611" s="6"/>
      <c r="P611" s="3"/>
      <c r="Q611" s="3"/>
      <c r="R611" s="3"/>
      <c r="S611" s="3"/>
    </row>
    <row r="612" spans="2:19" s="2" customFormat="1" hidden="1" x14ac:dyDescent="0.25">
      <c r="B612">
        <v>10443</v>
      </c>
      <c r="C612" t="s">
        <v>225</v>
      </c>
      <c r="D612" s="6">
        <v>42778</v>
      </c>
      <c r="E612" s="6">
        <v>42806</v>
      </c>
      <c r="F612" s="6">
        <v>42780</v>
      </c>
      <c r="G612" s="3" t="s">
        <v>644</v>
      </c>
      <c r="H612" s="3">
        <v>69.75</v>
      </c>
      <c r="I612" s="3" t="s">
        <v>371</v>
      </c>
      <c r="J612" s="3" t="str">
        <f t="shared" si="9"/>
        <v>Feb</v>
      </c>
      <c r="K612"/>
      <c r="L612"/>
      <c r="M612" s="6"/>
      <c r="N612" s="6"/>
      <c r="O612" s="6"/>
      <c r="P612" s="3"/>
      <c r="Q612" s="3"/>
      <c r="R612" s="3"/>
      <c r="S612" s="3"/>
    </row>
    <row r="613" spans="2:19" s="2" customFormat="1" hidden="1" x14ac:dyDescent="0.25">
      <c r="B613">
        <v>10562</v>
      </c>
      <c r="C613" t="s">
        <v>225</v>
      </c>
      <c r="D613" s="6">
        <v>42895</v>
      </c>
      <c r="E613" s="6">
        <v>42923</v>
      </c>
      <c r="F613" s="6">
        <v>42898</v>
      </c>
      <c r="G613" s="3" t="s">
        <v>644</v>
      </c>
      <c r="H613" s="3">
        <v>114.75</v>
      </c>
      <c r="I613" s="3" t="s">
        <v>371</v>
      </c>
      <c r="J613" s="3" t="str">
        <f t="shared" si="9"/>
        <v>Jun</v>
      </c>
      <c r="K613"/>
      <c r="L613"/>
      <c r="M613" s="6"/>
      <c r="N613" s="6"/>
      <c r="O613" s="6"/>
      <c r="P613" s="3"/>
      <c r="Q613" s="3"/>
      <c r="R613" s="3"/>
      <c r="S613" s="3"/>
    </row>
    <row r="614" spans="2:19" s="2" customFormat="1" hidden="1" x14ac:dyDescent="0.25">
      <c r="B614">
        <v>10586</v>
      </c>
      <c r="C614" t="s">
        <v>225</v>
      </c>
      <c r="D614" s="6">
        <v>42918</v>
      </c>
      <c r="E614" s="6">
        <v>42946</v>
      </c>
      <c r="F614" s="6">
        <v>42925</v>
      </c>
      <c r="G614" s="3" t="s">
        <v>644</v>
      </c>
      <c r="H614" s="3">
        <v>2.4</v>
      </c>
      <c r="I614" s="3" t="s">
        <v>371</v>
      </c>
      <c r="J614" s="3" t="str">
        <f t="shared" si="9"/>
        <v>Jul</v>
      </c>
      <c r="K614"/>
      <c r="L614"/>
      <c r="M614" s="6"/>
      <c r="N614" s="6"/>
      <c r="O614" s="6"/>
      <c r="P614" s="3"/>
      <c r="Q614" s="3"/>
      <c r="R614" s="3"/>
      <c r="S614" s="3"/>
    </row>
    <row r="615" spans="2:19" s="2" customFormat="1" hidden="1" x14ac:dyDescent="0.25">
      <c r="B615">
        <v>10655</v>
      </c>
      <c r="C615" t="s">
        <v>225</v>
      </c>
      <c r="D615" s="6">
        <v>42981</v>
      </c>
      <c r="E615" s="6">
        <v>43009</v>
      </c>
      <c r="F615" s="6">
        <v>42989</v>
      </c>
      <c r="G615" s="3" t="s">
        <v>645</v>
      </c>
      <c r="H615" s="3">
        <v>22.05</v>
      </c>
      <c r="I615" s="3" t="s">
        <v>371</v>
      </c>
      <c r="J615" s="3" t="str">
        <f t="shared" si="9"/>
        <v>Sep</v>
      </c>
      <c r="K615"/>
      <c r="L615"/>
      <c r="M615" s="6"/>
      <c r="N615" s="6"/>
      <c r="O615" s="6"/>
      <c r="P615" s="3"/>
      <c r="Q615" s="3"/>
      <c r="R615" s="3"/>
      <c r="S615" s="3"/>
    </row>
    <row r="616" spans="2:19" s="2" customFormat="1" hidden="1" x14ac:dyDescent="0.25">
      <c r="B616">
        <v>10727</v>
      </c>
      <c r="C616" t="s">
        <v>225</v>
      </c>
      <c r="D616" s="6">
        <v>43042</v>
      </c>
      <c r="E616" s="6">
        <v>43070</v>
      </c>
      <c r="F616" s="6">
        <v>43074</v>
      </c>
      <c r="G616" s="3" t="s">
        <v>644</v>
      </c>
      <c r="H616" s="3">
        <v>449.5</v>
      </c>
      <c r="I616" s="3" t="s">
        <v>371</v>
      </c>
      <c r="J616" s="3" t="str">
        <f t="shared" si="9"/>
        <v>Nov</v>
      </c>
      <c r="K616"/>
      <c r="L616"/>
      <c r="M616" s="6"/>
      <c r="N616" s="6"/>
      <c r="O616" s="6"/>
      <c r="P616" s="3"/>
      <c r="Q616" s="3"/>
      <c r="R616" s="3"/>
      <c r="S616" s="3"/>
    </row>
    <row r="617" spans="2:19" s="2" customFormat="1" hidden="1" x14ac:dyDescent="0.25">
      <c r="B617">
        <v>10812</v>
      </c>
      <c r="C617" t="s">
        <v>225</v>
      </c>
      <c r="D617" s="6">
        <v>43102</v>
      </c>
      <c r="E617" s="6">
        <v>43130</v>
      </c>
      <c r="F617" s="6">
        <v>43112</v>
      </c>
      <c r="G617" s="3" t="s">
        <v>644</v>
      </c>
      <c r="H617" s="3">
        <v>298.89999999999998</v>
      </c>
      <c r="I617" s="3" t="s">
        <v>371</v>
      </c>
      <c r="J617" s="3" t="str">
        <f t="shared" si="9"/>
        <v>Jan</v>
      </c>
      <c r="K617"/>
      <c r="L617"/>
      <c r="M617" s="6"/>
      <c r="N617" s="6"/>
      <c r="O617" s="6"/>
      <c r="P617" s="3"/>
      <c r="Q617" s="3"/>
      <c r="R617" s="3"/>
      <c r="S617" s="3"/>
    </row>
    <row r="618" spans="2:19" s="2" customFormat="1" hidden="1" x14ac:dyDescent="0.25">
      <c r="B618">
        <v>10908</v>
      </c>
      <c r="C618" t="s">
        <v>225</v>
      </c>
      <c r="D618" s="6">
        <v>43157</v>
      </c>
      <c r="E618" s="6">
        <v>43185</v>
      </c>
      <c r="F618" s="6">
        <v>43165</v>
      </c>
      <c r="G618" s="3" t="s">
        <v>645</v>
      </c>
      <c r="H618" s="3">
        <v>164.8</v>
      </c>
      <c r="I618" s="3" t="s">
        <v>371</v>
      </c>
      <c r="J618" s="3" t="str">
        <f t="shared" si="9"/>
        <v>Feb</v>
      </c>
      <c r="K618"/>
      <c r="L618"/>
      <c r="M618" s="6"/>
      <c r="N618" s="6"/>
      <c r="O618" s="6"/>
      <c r="P618" s="3"/>
      <c r="Q618" s="3"/>
      <c r="R618" s="3"/>
      <c r="S618" s="3"/>
    </row>
    <row r="619" spans="2:19" s="2" customFormat="1" hidden="1" x14ac:dyDescent="0.25">
      <c r="B619">
        <v>10942</v>
      </c>
      <c r="C619" t="s">
        <v>225</v>
      </c>
      <c r="D619" s="6">
        <v>43170</v>
      </c>
      <c r="E619" s="6">
        <v>43198</v>
      </c>
      <c r="F619" s="6">
        <v>43177</v>
      </c>
      <c r="G619" s="3" t="s">
        <v>646</v>
      </c>
      <c r="H619" s="3">
        <v>89.75</v>
      </c>
      <c r="I619" s="3" t="s">
        <v>371</v>
      </c>
      <c r="J619" s="3" t="str">
        <f t="shared" si="9"/>
        <v>Mar</v>
      </c>
      <c r="K619"/>
      <c r="L619"/>
      <c r="M619" s="6"/>
      <c r="N619" s="6"/>
      <c r="O619" s="6"/>
      <c r="P619" s="3"/>
      <c r="Q619" s="3"/>
      <c r="R619" s="3"/>
      <c r="S619" s="3"/>
    </row>
    <row r="620" spans="2:19" s="2" customFormat="1" hidden="1" x14ac:dyDescent="0.25">
      <c r="B620">
        <v>11010</v>
      </c>
      <c r="C620" t="s">
        <v>225</v>
      </c>
      <c r="D620" s="6">
        <v>43199</v>
      </c>
      <c r="E620" s="6">
        <v>43227</v>
      </c>
      <c r="F620" s="6">
        <v>43211</v>
      </c>
      <c r="G620" s="3" t="s">
        <v>645</v>
      </c>
      <c r="H620" s="3">
        <v>143.55000000000001</v>
      </c>
      <c r="I620" s="3" t="s">
        <v>371</v>
      </c>
      <c r="J620" s="3" t="str">
        <f t="shared" si="9"/>
        <v>Apr</v>
      </c>
      <c r="K620"/>
      <c r="L620"/>
      <c r="M620" s="6"/>
      <c r="N620" s="6"/>
      <c r="O620" s="6"/>
      <c r="P620" s="3"/>
      <c r="Q620" s="3"/>
      <c r="R620" s="3"/>
      <c r="S620" s="3"/>
    </row>
    <row r="621" spans="2:19" s="2" customFormat="1" hidden="1" x14ac:dyDescent="0.25">
      <c r="B621">
        <v>11062</v>
      </c>
      <c r="C621" t="s">
        <v>225</v>
      </c>
      <c r="D621" s="6">
        <v>43220</v>
      </c>
      <c r="E621" s="6">
        <v>43248</v>
      </c>
      <c r="F621" s="6"/>
      <c r="G621" s="3" t="s">
        <v>645</v>
      </c>
      <c r="H621" s="3">
        <v>149.65</v>
      </c>
      <c r="I621" s="3" t="s">
        <v>371</v>
      </c>
      <c r="J621" s="3" t="str">
        <f t="shared" si="9"/>
        <v>Apr</v>
      </c>
      <c r="K621"/>
      <c r="L621"/>
      <c r="M621" s="6"/>
      <c r="N621" s="6"/>
      <c r="O621" s="6"/>
      <c r="P621" s="3"/>
      <c r="Q621" s="3"/>
      <c r="R621" s="3"/>
      <c r="S621" s="3"/>
    </row>
    <row r="622" spans="2:19" s="2" customFormat="1" hidden="1" x14ac:dyDescent="0.25">
      <c r="B622">
        <v>10287</v>
      </c>
      <c r="C622" t="s">
        <v>228</v>
      </c>
      <c r="D622" s="6">
        <v>42604</v>
      </c>
      <c r="E622" s="6">
        <v>42632</v>
      </c>
      <c r="F622" s="6">
        <v>42610</v>
      </c>
      <c r="G622" s="3" t="s">
        <v>646</v>
      </c>
      <c r="H622" s="3">
        <v>63.8</v>
      </c>
      <c r="I622" s="3" t="s">
        <v>8</v>
      </c>
      <c r="J622" s="3" t="str">
        <f t="shared" si="9"/>
        <v>Aug</v>
      </c>
      <c r="K622"/>
      <c r="L622"/>
      <c r="M622" s="6"/>
      <c r="N622" s="6"/>
      <c r="O622" s="6"/>
      <c r="P622" s="3"/>
      <c r="Q622" s="3"/>
      <c r="R622" s="3"/>
      <c r="S622" s="3"/>
    </row>
    <row r="623" spans="2:19" s="2" customFormat="1" hidden="1" x14ac:dyDescent="0.25">
      <c r="B623">
        <v>10299</v>
      </c>
      <c r="C623" t="s">
        <v>228</v>
      </c>
      <c r="D623" s="6">
        <v>42619</v>
      </c>
      <c r="E623" s="6">
        <v>42647</v>
      </c>
      <c r="F623" s="6">
        <v>42626</v>
      </c>
      <c r="G623" s="3" t="s">
        <v>645</v>
      </c>
      <c r="H623" s="3">
        <v>148.80000000000001</v>
      </c>
      <c r="I623" s="3" t="s">
        <v>8</v>
      </c>
      <c r="J623" s="3" t="str">
        <f t="shared" si="9"/>
        <v>Sep</v>
      </c>
      <c r="K623"/>
      <c r="L623"/>
      <c r="M623" s="6"/>
      <c r="N623" s="6"/>
      <c r="O623" s="6"/>
      <c r="P623" s="3"/>
      <c r="Q623" s="3"/>
      <c r="R623" s="3"/>
      <c r="S623" s="3"/>
    </row>
    <row r="624" spans="2:19" s="2" customFormat="1" hidden="1" x14ac:dyDescent="0.25">
      <c r="B624">
        <v>10447</v>
      </c>
      <c r="C624" t="s">
        <v>228</v>
      </c>
      <c r="D624" s="6">
        <v>42780</v>
      </c>
      <c r="E624" s="6">
        <v>42808</v>
      </c>
      <c r="F624" s="6">
        <v>42801</v>
      </c>
      <c r="G624" s="3" t="s">
        <v>645</v>
      </c>
      <c r="H624" s="3">
        <v>343.29999999999995</v>
      </c>
      <c r="I624" s="3" t="s">
        <v>8</v>
      </c>
      <c r="J624" s="3" t="str">
        <f t="shared" si="9"/>
        <v>Feb</v>
      </c>
      <c r="K624"/>
      <c r="L624"/>
      <c r="M624" s="6"/>
      <c r="N624" s="6"/>
      <c r="O624" s="6"/>
      <c r="P624" s="3"/>
      <c r="Q624" s="3"/>
      <c r="R624" s="3"/>
      <c r="S624" s="3"/>
    </row>
    <row r="625" spans="2:19" s="2" customFormat="1" hidden="1" x14ac:dyDescent="0.25">
      <c r="B625">
        <v>10481</v>
      </c>
      <c r="C625" t="s">
        <v>228</v>
      </c>
      <c r="D625" s="6">
        <v>42814</v>
      </c>
      <c r="E625" s="6">
        <v>42842</v>
      </c>
      <c r="F625" s="6">
        <v>42819</v>
      </c>
      <c r="G625" s="3" t="s">
        <v>645</v>
      </c>
      <c r="H625" s="3">
        <v>321.64999999999998</v>
      </c>
      <c r="I625" s="3" t="s">
        <v>8</v>
      </c>
      <c r="J625" s="3" t="str">
        <f t="shared" si="9"/>
        <v>Mar</v>
      </c>
      <c r="K625"/>
      <c r="L625"/>
      <c r="M625" s="6"/>
      <c r="N625" s="6"/>
      <c r="O625" s="6"/>
      <c r="P625" s="3"/>
      <c r="Q625" s="3"/>
      <c r="R625" s="3"/>
      <c r="S625" s="3"/>
    </row>
    <row r="626" spans="2:19" s="2" customFormat="1" hidden="1" x14ac:dyDescent="0.25">
      <c r="B626">
        <v>10563</v>
      </c>
      <c r="C626" t="s">
        <v>228</v>
      </c>
      <c r="D626" s="6">
        <v>42896</v>
      </c>
      <c r="E626" s="6">
        <v>42938</v>
      </c>
      <c r="F626" s="6">
        <v>42910</v>
      </c>
      <c r="G626" s="3" t="s">
        <v>645</v>
      </c>
      <c r="H626" s="3">
        <v>302.14999999999998</v>
      </c>
      <c r="I626" s="3" t="s">
        <v>8</v>
      </c>
      <c r="J626" s="3" t="str">
        <f t="shared" si="9"/>
        <v>Jun</v>
      </c>
      <c r="K626"/>
      <c r="L626"/>
      <c r="M626" s="6"/>
      <c r="N626" s="6"/>
      <c r="O626" s="6"/>
      <c r="P626" s="3"/>
      <c r="Q626" s="3"/>
      <c r="R626" s="3"/>
      <c r="S626" s="3"/>
    </row>
    <row r="627" spans="2:19" s="2" customFormat="1" hidden="1" x14ac:dyDescent="0.25">
      <c r="B627">
        <v>10622</v>
      </c>
      <c r="C627" t="s">
        <v>228</v>
      </c>
      <c r="D627" s="6">
        <v>42953</v>
      </c>
      <c r="E627" s="6">
        <v>42981</v>
      </c>
      <c r="F627" s="6">
        <v>42958</v>
      </c>
      <c r="G627" s="3" t="s">
        <v>646</v>
      </c>
      <c r="H627" s="3">
        <v>254.85</v>
      </c>
      <c r="I627" s="3" t="s">
        <v>8</v>
      </c>
      <c r="J627" s="3" t="str">
        <f t="shared" si="9"/>
        <v>Aug</v>
      </c>
      <c r="K627"/>
      <c r="L627"/>
      <c r="M627" s="6"/>
      <c r="N627" s="6"/>
      <c r="O627" s="6"/>
      <c r="P627" s="3"/>
      <c r="Q627" s="3"/>
      <c r="R627" s="3"/>
      <c r="S627" s="3"/>
    </row>
    <row r="628" spans="2:19" s="2" customFormat="1" hidden="1" x14ac:dyDescent="0.25">
      <c r="B628">
        <v>10648</v>
      </c>
      <c r="C628" t="s">
        <v>228</v>
      </c>
      <c r="D628" s="6">
        <v>42975</v>
      </c>
      <c r="E628" s="6">
        <v>43017</v>
      </c>
      <c r="F628" s="6">
        <v>42987</v>
      </c>
      <c r="G628" s="3" t="s">
        <v>645</v>
      </c>
      <c r="H628" s="3">
        <v>71.25</v>
      </c>
      <c r="I628" s="3" t="s">
        <v>8</v>
      </c>
      <c r="J628" s="3" t="str">
        <f t="shared" si="9"/>
        <v>Aug</v>
      </c>
      <c r="K628"/>
      <c r="L628"/>
      <c r="M628" s="6"/>
      <c r="N628" s="6"/>
      <c r="O628" s="6"/>
      <c r="P628" s="3"/>
      <c r="Q628" s="3"/>
      <c r="R628" s="3"/>
      <c r="S628" s="3"/>
    </row>
    <row r="629" spans="2:19" s="2" customFormat="1" hidden="1" x14ac:dyDescent="0.25">
      <c r="B629">
        <v>10813</v>
      </c>
      <c r="C629" t="s">
        <v>228</v>
      </c>
      <c r="D629" s="6">
        <v>43105</v>
      </c>
      <c r="E629" s="6">
        <v>43133</v>
      </c>
      <c r="F629" s="6">
        <v>43109</v>
      </c>
      <c r="G629" s="3" t="s">
        <v>644</v>
      </c>
      <c r="H629" s="3">
        <v>236.9</v>
      </c>
      <c r="I629" s="3" t="s">
        <v>8</v>
      </c>
      <c r="J629" s="3" t="str">
        <f t="shared" si="9"/>
        <v>Jan</v>
      </c>
      <c r="K629"/>
      <c r="L629"/>
      <c r="M629" s="6"/>
      <c r="N629" s="6"/>
      <c r="O629" s="6"/>
      <c r="P629" s="3"/>
      <c r="Q629" s="3"/>
      <c r="R629" s="3"/>
      <c r="S629" s="3"/>
    </row>
    <row r="630" spans="2:19" s="2" customFormat="1" hidden="1" x14ac:dyDescent="0.25">
      <c r="B630">
        <v>10851</v>
      </c>
      <c r="C630" t="s">
        <v>228</v>
      </c>
      <c r="D630" s="6">
        <v>43126</v>
      </c>
      <c r="E630" s="6">
        <v>43154</v>
      </c>
      <c r="F630" s="6">
        <v>43133</v>
      </c>
      <c r="G630" s="3" t="s">
        <v>644</v>
      </c>
      <c r="H630" s="3">
        <v>802.75</v>
      </c>
      <c r="I630" s="3" t="s">
        <v>8</v>
      </c>
      <c r="J630" s="3" t="str">
        <f t="shared" si="9"/>
        <v>Jan</v>
      </c>
      <c r="K630"/>
      <c r="L630"/>
      <c r="M630" s="6"/>
      <c r="N630" s="6"/>
      <c r="O630" s="6"/>
      <c r="P630" s="3"/>
      <c r="Q630" s="3"/>
      <c r="R630" s="3"/>
      <c r="S630" s="3"/>
    </row>
    <row r="631" spans="2:19" s="2" customFormat="1" hidden="1" x14ac:dyDescent="0.25">
      <c r="B631">
        <v>10877</v>
      </c>
      <c r="C631" t="s">
        <v>228</v>
      </c>
      <c r="D631" s="6">
        <v>43140</v>
      </c>
      <c r="E631" s="6">
        <v>43168</v>
      </c>
      <c r="F631" s="6">
        <v>43150</v>
      </c>
      <c r="G631" s="3" t="s">
        <v>644</v>
      </c>
      <c r="H631" s="3">
        <v>190.3</v>
      </c>
      <c r="I631" s="3" t="s">
        <v>8</v>
      </c>
      <c r="J631" s="3" t="str">
        <f t="shared" si="9"/>
        <v>Feb</v>
      </c>
      <c r="K631"/>
      <c r="L631"/>
      <c r="M631" s="6"/>
      <c r="N631" s="6"/>
      <c r="O631" s="6"/>
      <c r="P631" s="3"/>
      <c r="Q631" s="3"/>
      <c r="R631" s="3"/>
      <c r="S631" s="3"/>
    </row>
    <row r="632" spans="2:19" s="2" customFormat="1" hidden="1" x14ac:dyDescent="0.25">
      <c r="B632">
        <v>11059</v>
      </c>
      <c r="C632" t="s">
        <v>228</v>
      </c>
      <c r="D632" s="6">
        <v>43219</v>
      </c>
      <c r="E632" s="6">
        <v>43261</v>
      </c>
      <c r="F632" s="6"/>
      <c r="G632" s="3" t="s">
        <v>645</v>
      </c>
      <c r="H632" s="3">
        <v>429</v>
      </c>
      <c r="I632" s="3" t="s">
        <v>8</v>
      </c>
      <c r="J632" s="3" t="str">
        <f t="shared" si="9"/>
        <v>Apr</v>
      </c>
      <c r="K632"/>
      <c r="L632"/>
      <c r="M632" s="6"/>
      <c r="N632" s="6"/>
      <c r="O632" s="6"/>
      <c r="P632" s="3"/>
      <c r="Q632" s="3"/>
      <c r="R632" s="3"/>
      <c r="S632" s="3"/>
    </row>
    <row r="633" spans="2:19" s="2" customFormat="1" hidden="1" x14ac:dyDescent="0.25">
      <c r="B633">
        <v>10255</v>
      </c>
      <c r="C633" t="s">
        <v>230</v>
      </c>
      <c r="D633" s="6">
        <v>42563</v>
      </c>
      <c r="E633" s="6">
        <v>42591</v>
      </c>
      <c r="F633" s="6">
        <v>42566</v>
      </c>
      <c r="G633" s="3" t="s">
        <v>646</v>
      </c>
      <c r="H633" s="3">
        <v>741.65000000000009</v>
      </c>
      <c r="I633" s="3" t="s">
        <v>7</v>
      </c>
      <c r="J633" s="3" t="str">
        <f t="shared" si="9"/>
        <v>Jul</v>
      </c>
      <c r="K633"/>
      <c r="L633"/>
      <c r="M633" s="6"/>
      <c r="N633" s="6"/>
      <c r="O633" s="6"/>
      <c r="P633" s="3"/>
      <c r="Q633" s="3"/>
      <c r="R633" s="3"/>
      <c r="S633" s="3"/>
    </row>
    <row r="634" spans="2:19" s="2" customFormat="1" hidden="1" x14ac:dyDescent="0.25">
      <c r="B634">
        <v>10419</v>
      </c>
      <c r="C634" t="s">
        <v>230</v>
      </c>
      <c r="D634" s="6">
        <v>42755</v>
      </c>
      <c r="E634" s="6">
        <v>42783</v>
      </c>
      <c r="F634" s="6">
        <v>42765</v>
      </c>
      <c r="G634" s="3" t="s">
        <v>645</v>
      </c>
      <c r="H634" s="3">
        <v>686.75</v>
      </c>
      <c r="I634" s="3" t="s">
        <v>7</v>
      </c>
      <c r="J634" s="3" t="str">
        <f t="shared" si="9"/>
        <v>Jan</v>
      </c>
      <c r="K634"/>
      <c r="L634"/>
      <c r="M634" s="6"/>
      <c r="N634" s="6"/>
      <c r="O634" s="6"/>
      <c r="P634" s="3"/>
      <c r="Q634" s="3"/>
      <c r="R634" s="3"/>
      <c r="S634" s="3"/>
    </row>
    <row r="635" spans="2:19" s="2" customFormat="1" hidden="1" x14ac:dyDescent="0.25">
      <c r="B635">
        <v>10537</v>
      </c>
      <c r="C635" t="s">
        <v>230</v>
      </c>
      <c r="D635" s="6">
        <v>42869</v>
      </c>
      <c r="E635" s="6">
        <v>42883</v>
      </c>
      <c r="F635" s="6">
        <v>42874</v>
      </c>
      <c r="G635" s="3" t="s">
        <v>644</v>
      </c>
      <c r="H635" s="3">
        <v>394.25</v>
      </c>
      <c r="I635" s="3" t="s">
        <v>7</v>
      </c>
      <c r="J635" s="3" t="str">
        <f t="shared" si="9"/>
        <v>May</v>
      </c>
      <c r="K635"/>
      <c r="L635"/>
      <c r="M635" s="6"/>
      <c r="N635" s="6"/>
      <c r="O635" s="6"/>
      <c r="P635" s="3"/>
      <c r="Q635" s="3"/>
      <c r="R635" s="3"/>
      <c r="S635" s="3"/>
    </row>
    <row r="636" spans="2:19" s="2" customFormat="1" hidden="1" x14ac:dyDescent="0.25">
      <c r="B636">
        <v>10666</v>
      </c>
      <c r="C636" t="s">
        <v>230</v>
      </c>
      <c r="D636" s="6">
        <v>42990</v>
      </c>
      <c r="E636" s="6">
        <v>43018</v>
      </c>
      <c r="F636" s="6">
        <v>43000</v>
      </c>
      <c r="G636" s="3" t="s">
        <v>645</v>
      </c>
      <c r="H636" s="3">
        <v>1162.0999999999999</v>
      </c>
      <c r="I636" s="3" t="s">
        <v>7</v>
      </c>
      <c r="J636" s="3" t="str">
        <f t="shared" si="9"/>
        <v>Sep</v>
      </c>
      <c r="K636"/>
      <c r="L636"/>
      <c r="M636" s="6"/>
      <c r="N636" s="6"/>
      <c r="O636" s="6"/>
      <c r="P636" s="3"/>
      <c r="Q636" s="3"/>
      <c r="R636" s="3"/>
      <c r="S636" s="3"/>
    </row>
    <row r="637" spans="2:19" s="2" customFormat="1" hidden="1" x14ac:dyDescent="0.25">
      <c r="B637">
        <v>10751</v>
      </c>
      <c r="C637" t="s">
        <v>230</v>
      </c>
      <c r="D637" s="6">
        <v>43063</v>
      </c>
      <c r="E637" s="6">
        <v>43091</v>
      </c>
      <c r="F637" s="6">
        <v>43072</v>
      </c>
      <c r="G637" s="3" t="s">
        <v>646</v>
      </c>
      <c r="H637" s="3">
        <v>653.94999999999993</v>
      </c>
      <c r="I637" s="3" t="s">
        <v>7</v>
      </c>
      <c r="J637" s="3" t="str">
        <f t="shared" si="9"/>
        <v>Nov</v>
      </c>
      <c r="K637"/>
      <c r="L637"/>
      <c r="M637" s="6"/>
      <c r="N637" s="6"/>
      <c r="O637" s="6"/>
      <c r="P637" s="3"/>
      <c r="Q637" s="3"/>
      <c r="R637" s="3"/>
      <c r="S637" s="3"/>
    </row>
    <row r="638" spans="2:19" s="2" customFormat="1" hidden="1" x14ac:dyDescent="0.25">
      <c r="B638">
        <v>10758</v>
      </c>
      <c r="C638" t="s">
        <v>230</v>
      </c>
      <c r="D638" s="6">
        <v>43067</v>
      </c>
      <c r="E638" s="6">
        <v>43095</v>
      </c>
      <c r="F638" s="6">
        <v>43073</v>
      </c>
      <c r="G638" s="3" t="s">
        <v>646</v>
      </c>
      <c r="H638" s="3">
        <v>690.84999999999991</v>
      </c>
      <c r="I638" s="3" t="s">
        <v>7</v>
      </c>
      <c r="J638" s="3" t="str">
        <f t="shared" si="9"/>
        <v>Nov</v>
      </c>
      <c r="K638"/>
      <c r="L638"/>
      <c r="M638" s="6"/>
      <c r="N638" s="6"/>
      <c r="O638" s="6"/>
      <c r="P638" s="3"/>
      <c r="Q638" s="3"/>
      <c r="R638" s="3"/>
      <c r="S638" s="3"/>
    </row>
    <row r="639" spans="2:19" s="2" customFormat="1" hidden="1" x14ac:dyDescent="0.25">
      <c r="B639">
        <v>10931</v>
      </c>
      <c r="C639" t="s">
        <v>230</v>
      </c>
      <c r="D639" s="6">
        <v>43165</v>
      </c>
      <c r="E639" s="6">
        <v>43179</v>
      </c>
      <c r="F639" s="6">
        <v>43178</v>
      </c>
      <c r="G639" s="3" t="s">
        <v>645</v>
      </c>
      <c r="H639" s="3">
        <v>68</v>
      </c>
      <c r="I639" s="3" t="s">
        <v>7</v>
      </c>
      <c r="J639" s="3" t="str">
        <f t="shared" si="9"/>
        <v>Mar</v>
      </c>
      <c r="K639"/>
      <c r="L639"/>
      <c r="M639" s="6"/>
      <c r="N639" s="6"/>
      <c r="O639" s="6"/>
      <c r="P639" s="3"/>
      <c r="Q639" s="3"/>
      <c r="R639" s="3"/>
      <c r="S639" s="3"/>
    </row>
    <row r="640" spans="2:19" s="2" customFormat="1" hidden="1" x14ac:dyDescent="0.25">
      <c r="B640">
        <v>10951</v>
      </c>
      <c r="C640" t="s">
        <v>230</v>
      </c>
      <c r="D640" s="6">
        <v>43175</v>
      </c>
      <c r="E640" s="6">
        <v>43217</v>
      </c>
      <c r="F640" s="6">
        <v>43197</v>
      </c>
      <c r="G640" s="3" t="s">
        <v>645</v>
      </c>
      <c r="H640" s="3">
        <v>154.25</v>
      </c>
      <c r="I640" s="3" t="s">
        <v>7</v>
      </c>
      <c r="J640" s="3" t="str">
        <f t="shared" si="9"/>
        <v>Mar</v>
      </c>
      <c r="K640"/>
      <c r="L640"/>
      <c r="M640" s="6"/>
      <c r="N640" s="6"/>
      <c r="O640" s="6"/>
      <c r="P640" s="3"/>
      <c r="Q640" s="3"/>
      <c r="R640" s="3"/>
      <c r="S640" s="3"/>
    </row>
    <row r="641" spans="2:19" s="2" customFormat="1" hidden="1" x14ac:dyDescent="0.25">
      <c r="B641">
        <v>11033</v>
      </c>
      <c r="C641" t="s">
        <v>230</v>
      </c>
      <c r="D641" s="6">
        <v>43207</v>
      </c>
      <c r="E641" s="6">
        <v>43235</v>
      </c>
      <c r="F641" s="6">
        <v>43213</v>
      </c>
      <c r="G641" s="3" t="s">
        <v>646</v>
      </c>
      <c r="H641" s="3">
        <v>423.7</v>
      </c>
      <c r="I641" s="3" t="s">
        <v>7</v>
      </c>
      <c r="J641" s="3" t="str">
        <f t="shared" si="9"/>
        <v>Apr</v>
      </c>
      <c r="K641"/>
      <c r="L641"/>
      <c r="M641" s="6"/>
      <c r="N641" s="6"/>
      <c r="O641" s="6"/>
      <c r="P641" s="3"/>
      <c r="Q641" s="3"/>
      <c r="R641" s="3"/>
      <c r="S641" s="3"/>
    </row>
    <row r="642" spans="2:19" s="2" customFormat="1" hidden="1" x14ac:dyDescent="0.25">
      <c r="B642">
        <v>11075</v>
      </c>
      <c r="C642" t="s">
        <v>230</v>
      </c>
      <c r="D642" s="6">
        <v>43226</v>
      </c>
      <c r="E642" s="6">
        <v>43254</v>
      </c>
      <c r="F642" s="6"/>
      <c r="G642" s="3" t="s">
        <v>645</v>
      </c>
      <c r="H642" s="3">
        <v>30.950000000000003</v>
      </c>
      <c r="I642" s="3" t="s">
        <v>7</v>
      </c>
      <c r="J642" s="3" t="str">
        <f t="shared" si="9"/>
        <v>May</v>
      </c>
      <c r="K642"/>
      <c r="L642"/>
      <c r="M642" s="6"/>
      <c r="N642" s="6"/>
      <c r="O642" s="6"/>
      <c r="P642" s="3"/>
      <c r="Q642" s="3"/>
      <c r="R642" s="3"/>
      <c r="S642" s="3"/>
    </row>
    <row r="643" spans="2:19" s="2" customFormat="1" hidden="1" x14ac:dyDescent="0.25">
      <c r="B643">
        <v>10281</v>
      </c>
      <c r="C643" t="s">
        <v>232</v>
      </c>
      <c r="D643" s="6">
        <v>42596</v>
      </c>
      <c r="E643" s="6">
        <v>42610</v>
      </c>
      <c r="F643" s="6">
        <v>42603</v>
      </c>
      <c r="G643" s="3" t="s">
        <v>644</v>
      </c>
      <c r="H643" s="3">
        <v>14.7</v>
      </c>
      <c r="I643" s="3" t="s">
        <v>372</v>
      </c>
      <c r="J643" s="3" t="str">
        <f t="shared" si="9"/>
        <v>Aug</v>
      </c>
      <c r="K643"/>
      <c r="L643"/>
      <c r="M643" s="6"/>
      <c r="N643" s="6"/>
      <c r="O643" s="6"/>
      <c r="P643" s="3"/>
      <c r="Q643" s="3"/>
      <c r="R643" s="3"/>
      <c r="S643" s="3"/>
    </row>
    <row r="644" spans="2:19" s="2" customFormat="1" hidden="1" x14ac:dyDescent="0.25">
      <c r="B644">
        <v>10282</v>
      </c>
      <c r="C644" t="s">
        <v>232</v>
      </c>
      <c r="D644" s="6">
        <v>42597</v>
      </c>
      <c r="E644" s="6">
        <v>42625</v>
      </c>
      <c r="F644" s="6">
        <v>42603</v>
      </c>
      <c r="G644" s="3" t="s">
        <v>644</v>
      </c>
      <c r="H644" s="3">
        <v>63.449999999999996</v>
      </c>
      <c r="I644" s="3" t="s">
        <v>372</v>
      </c>
      <c r="J644" s="3" t="str">
        <f t="shared" si="9"/>
        <v>Aug</v>
      </c>
      <c r="K644"/>
      <c r="L644"/>
      <c r="M644" s="6"/>
      <c r="N644" s="6"/>
      <c r="O644" s="6"/>
      <c r="P644" s="3"/>
      <c r="Q644" s="3"/>
      <c r="R644" s="3"/>
      <c r="S644" s="3"/>
    </row>
    <row r="645" spans="2:19" s="2" customFormat="1" hidden="1" x14ac:dyDescent="0.25">
      <c r="B645">
        <v>10306</v>
      </c>
      <c r="C645" t="s">
        <v>232</v>
      </c>
      <c r="D645" s="6">
        <v>42629</v>
      </c>
      <c r="E645" s="6">
        <v>42657</v>
      </c>
      <c r="F645" s="6">
        <v>42636</v>
      </c>
      <c r="G645" s="3" t="s">
        <v>646</v>
      </c>
      <c r="H645" s="3">
        <v>37.799999999999997</v>
      </c>
      <c r="I645" s="3" t="s">
        <v>372</v>
      </c>
      <c r="J645" s="3" t="str">
        <f t="shared" si="9"/>
        <v>Sep</v>
      </c>
      <c r="K645"/>
      <c r="L645"/>
      <c r="M645" s="6"/>
      <c r="N645" s="6"/>
      <c r="O645" s="6"/>
      <c r="P645" s="3"/>
      <c r="Q645" s="3"/>
      <c r="R645" s="3"/>
      <c r="S645" s="3"/>
    </row>
    <row r="646" spans="2:19" s="2" customFormat="1" hidden="1" x14ac:dyDescent="0.25">
      <c r="B646">
        <v>10917</v>
      </c>
      <c r="C646" t="s">
        <v>232</v>
      </c>
      <c r="D646" s="6">
        <v>43161</v>
      </c>
      <c r="E646" s="6">
        <v>43189</v>
      </c>
      <c r="F646" s="6">
        <v>43170</v>
      </c>
      <c r="G646" s="3" t="s">
        <v>645</v>
      </c>
      <c r="H646" s="3">
        <v>41.449999999999996</v>
      </c>
      <c r="I646" s="3" t="s">
        <v>372</v>
      </c>
      <c r="J646" s="3" t="str">
        <f t="shared" si="9"/>
        <v>Mar</v>
      </c>
      <c r="K646"/>
      <c r="L646"/>
      <c r="M646" s="6"/>
      <c r="N646" s="6"/>
      <c r="O646" s="6"/>
      <c r="P646" s="3"/>
      <c r="Q646" s="3"/>
      <c r="R646" s="3"/>
      <c r="S646" s="3"/>
    </row>
    <row r="647" spans="2:19" s="2" customFormat="1" hidden="1" x14ac:dyDescent="0.25">
      <c r="B647">
        <v>11013</v>
      </c>
      <c r="C647" t="s">
        <v>232</v>
      </c>
      <c r="D647" s="6">
        <v>43199</v>
      </c>
      <c r="E647" s="6">
        <v>43227</v>
      </c>
      <c r="F647" s="6">
        <v>43200</v>
      </c>
      <c r="G647" s="3" t="s">
        <v>644</v>
      </c>
      <c r="H647" s="3">
        <v>164.95000000000002</v>
      </c>
      <c r="I647" s="3" t="s">
        <v>372</v>
      </c>
      <c r="J647" s="3" t="str">
        <f t="shared" si="9"/>
        <v>Apr</v>
      </c>
      <c r="K647"/>
      <c r="L647"/>
      <c r="M647" s="6"/>
      <c r="N647" s="6"/>
      <c r="O647" s="6"/>
      <c r="P647" s="3"/>
      <c r="Q647" s="3"/>
      <c r="R647" s="3"/>
      <c r="S647" s="3"/>
    </row>
    <row r="648" spans="2:19" s="2" customFormat="1" hidden="1" x14ac:dyDescent="0.25">
      <c r="B648">
        <v>10387</v>
      </c>
      <c r="C648" t="s">
        <v>235</v>
      </c>
      <c r="D648" s="6">
        <v>42722</v>
      </c>
      <c r="E648" s="6">
        <v>42750</v>
      </c>
      <c r="F648" s="6">
        <v>42724</v>
      </c>
      <c r="G648" s="3" t="s">
        <v>645</v>
      </c>
      <c r="H648" s="3">
        <v>468.15</v>
      </c>
      <c r="I648" s="3" t="s">
        <v>373</v>
      </c>
      <c r="J648" s="3" t="str">
        <f t="shared" si="9"/>
        <v>Dec</v>
      </c>
      <c r="K648"/>
      <c r="L648"/>
      <c r="M648" s="6"/>
      <c r="N648" s="6"/>
      <c r="O648" s="6"/>
      <c r="P648" s="3"/>
      <c r="Q648" s="3"/>
      <c r="R648" s="3"/>
      <c r="S648" s="3"/>
    </row>
    <row r="649" spans="2:19" s="2" customFormat="1" hidden="1" x14ac:dyDescent="0.25">
      <c r="B649">
        <v>10520</v>
      </c>
      <c r="C649" t="s">
        <v>235</v>
      </c>
      <c r="D649" s="6">
        <v>42854</v>
      </c>
      <c r="E649" s="6">
        <v>42882</v>
      </c>
      <c r="F649" s="6">
        <v>42856</v>
      </c>
      <c r="G649" s="3" t="s">
        <v>644</v>
      </c>
      <c r="H649" s="3">
        <v>66.849999999999994</v>
      </c>
      <c r="I649" s="3" t="s">
        <v>373</v>
      </c>
      <c r="J649" s="3" t="str">
        <f t="shared" si="9"/>
        <v>Apr</v>
      </c>
      <c r="K649"/>
      <c r="L649"/>
      <c r="M649" s="6"/>
      <c r="N649" s="6"/>
      <c r="O649" s="6"/>
      <c r="P649" s="3"/>
      <c r="Q649" s="3"/>
      <c r="R649" s="3"/>
      <c r="S649" s="3"/>
    </row>
    <row r="650" spans="2:19" s="2" customFormat="1" hidden="1" x14ac:dyDescent="0.25">
      <c r="B650">
        <v>10639</v>
      </c>
      <c r="C650" t="s">
        <v>235</v>
      </c>
      <c r="D650" s="6">
        <v>42967</v>
      </c>
      <c r="E650" s="6">
        <v>42995</v>
      </c>
      <c r="F650" s="6">
        <v>42974</v>
      </c>
      <c r="G650" s="3" t="s">
        <v>646</v>
      </c>
      <c r="H650" s="3">
        <v>193.2</v>
      </c>
      <c r="I650" s="3" t="s">
        <v>373</v>
      </c>
      <c r="J650" s="3" t="str">
        <f t="shared" si="9"/>
        <v>Aug</v>
      </c>
      <c r="K650"/>
      <c r="L650"/>
      <c r="M650" s="6"/>
      <c r="N650" s="6"/>
      <c r="O650" s="6"/>
      <c r="P650" s="3"/>
      <c r="Q650" s="3"/>
      <c r="R650" s="3"/>
      <c r="S650" s="3"/>
    </row>
    <row r="651" spans="2:19" s="2" customFormat="1" hidden="1" x14ac:dyDescent="0.25">
      <c r="B651">
        <v>10831</v>
      </c>
      <c r="C651" t="s">
        <v>235</v>
      </c>
      <c r="D651" s="6">
        <v>43114</v>
      </c>
      <c r="E651" s="6">
        <v>43142</v>
      </c>
      <c r="F651" s="6">
        <v>43123</v>
      </c>
      <c r="G651" s="3" t="s">
        <v>645</v>
      </c>
      <c r="H651" s="3">
        <v>360.95</v>
      </c>
      <c r="I651" s="3" t="s">
        <v>373</v>
      </c>
      <c r="J651" s="3" t="str">
        <f t="shared" si="9"/>
        <v>Jan</v>
      </c>
      <c r="K651"/>
      <c r="L651"/>
      <c r="M651" s="6"/>
      <c r="N651" s="6"/>
      <c r="O651" s="6"/>
      <c r="P651" s="3"/>
      <c r="Q651" s="3"/>
      <c r="R651" s="3"/>
      <c r="S651" s="3"/>
    </row>
    <row r="652" spans="2:19" s="2" customFormat="1" hidden="1" x14ac:dyDescent="0.25">
      <c r="B652">
        <v>10909</v>
      </c>
      <c r="C652" t="s">
        <v>235</v>
      </c>
      <c r="D652" s="6">
        <v>43157</v>
      </c>
      <c r="E652" s="6">
        <v>43185</v>
      </c>
      <c r="F652" s="6">
        <v>43169</v>
      </c>
      <c r="G652" s="3" t="s">
        <v>645</v>
      </c>
      <c r="H652" s="3">
        <v>265.25</v>
      </c>
      <c r="I652" s="3" t="s">
        <v>373</v>
      </c>
      <c r="J652" s="3" t="str">
        <f t="shared" si="9"/>
        <v>Feb</v>
      </c>
      <c r="K652"/>
      <c r="L652"/>
      <c r="M652" s="6"/>
      <c r="N652" s="6"/>
      <c r="O652" s="6"/>
      <c r="P652" s="3"/>
      <c r="Q652" s="3"/>
      <c r="R652" s="3"/>
      <c r="S652" s="3"/>
    </row>
    <row r="653" spans="2:19" s="2" customFormat="1" hidden="1" x14ac:dyDescent="0.25">
      <c r="B653">
        <v>11015</v>
      </c>
      <c r="C653" t="s">
        <v>235</v>
      </c>
      <c r="D653" s="6">
        <v>43200</v>
      </c>
      <c r="E653" s="6">
        <v>43214</v>
      </c>
      <c r="F653" s="6">
        <v>43210</v>
      </c>
      <c r="G653" s="3" t="s">
        <v>645</v>
      </c>
      <c r="H653" s="3">
        <v>23.1</v>
      </c>
      <c r="I653" s="3" t="s">
        <v>373</v>
      </c>
      <c r="J653" s="3" t="str">
        <f t="shared" si="9"/>
        <v>Apr</v>
      </c>
      <c r="K653"/>
      <c r="L653"/>
      <c r="M653" s="6"/>
      <c r="N653" s="6"/>
      <c r="O653" s="6"/>
      <c r="P653" s="3"/>
      <c r="Q653" s="3"/>
      <c r="R653" s="3"/>
      <c r="S653" s="3"/>
    </row>
    <row r="654" spans="2:19" s="2" customFormat="1" hidden="1" x14ac:dyDescent="0.25">
      <c r="B654">
        <v>10324</v>
      </c>
      <c r="C654" t="s">
        <v>238</v>
      </c>
      <c r="D654" s="6">
        <v>42651</v>
      </c>
      <c r="E654" s="6">
        <v>42679</v>
      </c>
      <c r="F654" s="6">
        <v>42653</v>
      </c>
      <c r="G654" s="3" t="s">
        <v>644</v>
      </c>
      <c r="H654" s="3">
        <v>1071.3500000000001</v>
      </c>
      <c r="I654" s="3" t="s">
        <v>374</v>
      </c>
      <c r="J654" s="3" t="str">
        <f t="shared" si="9"/>
        <v>Oct</v>
      </c>
      <c r="K654"/>
      <c r="L654"/>
      <c r="M654" s="6"/>
      <c r="N654" s="6"/>
      <c r="O654" s="6"/>
      <c r="P654" s="3"/>
      <c r="Q654" s="3"/>
      <c r="R654" s="3"/>
      <c r="S654" s="3"/>
    </row>
    <row r="655" spans="2:19" s="2" customFormat="1" hidden="1" x14ac:dyDescent="0.25">
      <c r="B655">
        <v>10393</v>
      </c>
      <c r="C655" t="s">
        <v>238</v>
      </c>
      <c r="D655" s="6">
        <v>42729</v>
      </c>
      <c r="E655" s="6">
        <v>42757</v>
      </c>
      <c r="F655" s="6">
        <v>42738</v>
      </c>
      <c r="G655" s="3" t="s">
        <v>646</v>
      </c>
      <c r="H655" s="3">
        <v>632.79999999999995</v>
      </c>
      <c r="I655" s="3" t="s">
        <v>374</v>
      </c>
      <c r="J655" s="3" t="str">
        <f t="shared" si="9"/>
        <v>Dec</v>
      </c>
      <c r="K655"/>
      <c r="L655"/>
      <c r="M655" s="6"/>
      <c r="N655" s="6"/>
      <c r="O655" s="6"/>
      <c r="P655" s="3"/>
      <c r="Q655" s="3"/>
      <c r="R655" s="3"/>
      <c r="S655" s="3"/>
    </row>
    <row r="656" spans="2:19" s="2" customFormat="1" hidden="1" x14ac:dyDescent="0.25">
      <c r="B656">
        <v>10398</v>
      </c>
      <c r="C656" t="s">
        <v>238</v>
      </c>
      <c r="D656" s="6">
        <v>42734</v>
      </c>
      <c r="E656" s="6">
        <v>42762</v>
      </c>
      <c r="F656" s="6">
        <v>42744</v>
      </c>
      <c r="G656" s="3" t="s">
        <v>646</v>
      </c>
      <c r="H656" s="3">
        <v>445.79999999999995</v>
      </c>
      <c r="I656" s="3" t="s">
        <v>374</v>
      </c>
      <c r="J656" s="3" t="str">
        <f t="shared" si="9"/>
        <v>Dec</v>
      </c>
      <c r="K656"/>
      <c r="L656"/>
      <c r="M656" s="6"/>
      <c r="N656" s="6"/>
      <c r="O656" s="6"/>
      <c r="P656" s="3"/>
      <c r="Q656" s="3"/>
      <c r="R656" s="3"/>
      <c r="S656" s="3"/>
    </row>
    <row r="657" spans="2:19" s="2" customFormat="1" hidden="1" x14ac:dyDescent="0.25">
      <c r="B657">
        <v>10440</v>
      </c>
      <c r="C657" t="s">
        <v>238</v>
      </c>
      <c r="D657" s="6">
        <v>42776</v>
      </c>
      <c r="E657" s="6">
        <v>42804</v>
      </c>
      <c r="F657" s="6">
        <v>42794</v>
      </c>
      <c r="G657" s="3" t="s">
        <v>645</v>
      </c>
      <c r="H657" s="3">
        <v>432.65</v>
      </c>
      <c r="I657" s="3" t="s">
        <v>374</v>
      </c>
      <c r="J657" s="3" t="str">
        <f t="shared" ref="J657:J720" si="10">TEXT(D657,"mmm")</f>
        <v>Feb</v>
      </c>
      <c r="K657"/>
      <c r="L657"/>
      <c r="M657" s="6"/>
      <c r="N657" s="6"/>
      <c r="O657" s="6"/>
      <c r="P657" s="3"/>
      <c r="Q657" s="3"/>
      <c r="R657" s="3"/>
      <c r="S657" s="3"/>
    </row>
    <row r="658" spans="2:19" s="2" customFormat="1" hidden="1" x14ac:dyDescent="0.25">
      <c r="B658">
        <v>10452</v>
      </c>
      <c r="C658" t="s">
        <v>238</v>
      </c>
      <c r="D658" s="6">
        <v>42786</v>
      </c>
      <c r="E658" s="6">
        <v>42814</v>
      </c>
      <c r="F658" s="6">
        <v>42792</v>
      </c>
      <c r="G658" s="3" t="s">
        <v>644</v>
      </c>
      <c r="H658" s="3">
        <v>701.3</v>
      </c>
      <c r="I658" s="3" t="s">
        <v>374</v>
      </c>
      <c r="J658" s="3" t="str">
        <f t="shared" si="10"/>
        <v>Feb</v>
      </c>
      <c r="K658"/>
      <c r="L658"/>
      <c r="M658" s="6"/>
      <c r="N658" s="6"/>
      <c r="O658" s="6"/>
      <c r="P658" s="3"/>
      <c r="Q658" s="3"/>
      <c r="R658" s="3"/>
      <c r="S658" s="3"/>
    </row>
    <row r="659" spans="2:19" s="2" customFormat="1" hidden="1" x14ac:dyDescent="0.25">
      <c r="B659">
        <v>10510</v>
      </c>
      <c r="C659" t="s">
        <v>238</v>
      </c>
      <c r="D659" s="6">
        <v>42843</v>
      </c>
      <c r="E659" s="6">
        <v>42871</v>
      </c>
      <c r="F659" s="6">
        <v>42853</v>
      </c>
      <c r="G659" s="3" t="s">
        <v>646</v>
      </c>
      <c r="H659" s="3">
        <v>1838.15</v>
      </c>
      <c r="I659" s="3" t="s">
        <v>374</v>
      </c>
      <c r="J659" s="3" t="str">
        <f t="shared" si="10"/>
        <v>Apr</v>
      </c>
      <c r="K659"/>
      <c r="L659"/>
      <c r="M659" s="6"/>
      <c r="N659" s="6"/>
      <c r="O659" s="6"/>
      <c r="P659" s="3"/>
      <c r="Q659" s="3"/>
      <c r="R659" s="3"/>
      <c r="S659" s="3"/>
    </row>
    <row r="660" spans="2:19" s="2" customFormat="1" hidden="1" x14ac:dyDescent="0.25">
      <c r="B660">
        <v>10555</v>
      </c>
      <c r="C660" t="s">
        <v>238</v>
      </c>
      <c r="D660" s="6">
        <v>42888</v>
      </c>
      <c r="E660" s="6">
        <v>42916</v>
      </c>
      <c r="F660" s="6">
        <v>42890</v>
      </c>
      <c r="G660" s="3" t="s">
        <v>646</v>
      </c>
      <c r="H660" s="3">
        <v>1262.45</v>
      </c>
      <c r="I660" s="3" t="s">
        <v>374</v>
      </c>
      <c r="J660" s="3" t="str">
        <f t="shared" si="10"/>
        <v>Jun</v>
      </c>
      <c r="K660"/>
      <c r="L660"/>
      <c r="M660" s="6"/>
      <c r="N660" s="6"/>
      <c r="O660" s="6"/>
      <c r="P660" s="3"/>
      <c r="Q660" s="3"/>
      <c r="R660" s="3"/>
      <c r="S660" s="3"/>
    </row>
    <row r="661" spans="2:19" s="2" customFormat="1" hidden="1" x14ac:dyDescent="0.25">
      <c r="B661">
        <v>10603</v>
      </c>
      <c r="C661" t="s">
        <v>238</v>
      </c>
      <c r="D661" s="6">
        <v>42934</v>
      </c>
      <c r="E661" s="6">
        <v>42962</v>
      </c>
      <c r="F661" s="6">
        <v>42955</v>
      </c>
      <c r="G661" s="3" t="s">
        <v>645</v>
      </c>
      <c r="H661" s="3">
        <v>243.85000000000002</v>
      </c>
      <c r="I661" s="3" t="s">
        <v>374</v>
      </c>
      <c r="J661" s="3" t="str">
        <f t="shared" si="10"/>
        <v>Jul</v>
      </c>
      <c r="K661"/>
      <c r="L661"/>
      <c r="M661" s="6"/>
      <c r="N661" s="6"/>
      <c r="O661" s="6"/>
      <c r="P661" s="3"/>
      <c r="Q661" s="3"/>
      <c r="R661" s="3"/>
      <c r="S661" s="3"/>
    </row>
    <row r="662" spans="2:19" s="2" customFormat="1" hidden="1" x14ac:dyDescent="0.25">
      <c r="B662">
        <v>10607</v>
      </c>
      <c r="C662" t="s">
        <v>238</v>
      </c>
      <c r="D662" s="6">
        <v>42938</v>
      </c>
      <c r="E662" s="6">
        <v>42966</v>
      </c>
      <c r="F662" s="6">
        <v>42941</v>
      </c>
      <c r="G662" s="3" t="s">
        <v>644</v>
      </c>
      <c r="H662" s="3">
        <v>1001.2</v>
      </c>
      <c r="I662" s="3" t="s">
        <v>374</v>
      </c>
      <c r="J662" s="3" t="str">
        <f t="shared" si="10"/>
        <v>Jul</v>
      </c>
      <c r="K662"/>
      <c r="L662"/>
      <c r="M662" s="6"/>
      <c r="N662" s="6"/>
      <c r="O662" s="6"/>
      <c r="P662" s="3"/>
      <c r="Q662" s="3"/>
      <c r="R662" s="3"/>
      <c r="S662" s="3"/>
    </row>
    <row r="663" spans="2:19" s="2" customFormat="1" hidden="1" x14ac:dyDescent="0.25">
      <c r="B663">
        <v>10612</v>
      </c>
      <c r="C663" t="s">
        <v>238</v>
      </c>
      <c r="D663" s="6">
        <v>42944</v>
      </c>
      <c r="E663" s="6">
        <v>42972</v>
      </c>
      <c r="F663" s="6">
        <v>42948</v>
      </c>
      <c r="G663" s="3" t="s">
        <v>645</v>
      </c>
      <c r="H663" s="3">
        <v>2720.4</v>
      </c>
      <c r="I663" s="3" t="s">
        <v>374</v>
      </c>
      <c r="J663" s="3" t="str">
        <f t="shared" si="10"/>
        <v>Jul</v>
      </c>
      <c r="K663"/>
      <c r="L663"/>
      <c r="M663" s="6"/>
      <c r="N663" s="6"/>
      <c r="O663" s="6"/>
      <c r="P663" s="3"/>
      <c r="Q663" s="3"/>
      <c r="R663" s="3"/>
      <c r="S663" s="3"/>
    </row>
    <row r="664" spans="2:19" s="2" customFormat="1" hidden="1" x14ac:dyDescent="0.25">
      <c r="B664">
        <v>10627</v>
      </c>
      <c r="C664" t="s">
        <v>238</v>
      </c>
      <c r="D664" s="6">
        <v>42958</v>
      </c>
      <c r="E664" s="6">
        <v>43000</v>
      </c>
      <c r="F664" s="6">
        <v>42968</v>
      </c>
      <c r="G664" s="3" t="s">
        <v>646</v>
      </c>
      <c r="H664" s="3">
        <v>537.29999999999995</v>
      </c>
      <c r="I664" s="3" t="s">
        <v>374</v>
      </c>
      <c r="J664" s="3" t="str">
        <f t="shared" si="10"/>
        <v>Aug</v>
      </c>
      <c r="K664"/>
      <c r="L664"/>
      <c r="M664" s="6"/>
      <c r="N664" s="6"/>
      <c r="O664" s="6"/>
      <c r="P664" s="3"/>
      <c r="Q664" s="3"/>
      <c r="R664" s="3"/>
      <c r="S664" s="3"/>
    </row>
    <row r="665" spans="2:19" s="2" customFormat="1" hidden="1" x14ac:dyDescent="0.25">
      <c r="B665">
        <v>10657</v>
      </c>
      <c r="C665" t="s">
        <v>238</v>
      </c>
      <c r="D665" s="6">
        <v>42982</v>
      </c>
      <c r="E665" s="6">
        <v>43010</v>
      </c>
      <c r="F665" s="6">
        <v>42993</v>
      </c>
      <c r="G665" s="3" t="s">
        <v>645</v>
      </c>
      <c r="H665" s="3">
        <v>1763.45</v>
      </c>
      <c r="I665" s="3" t="s">
        <v>374</v>
      </c>
      <c r="J665" s="3" t="str">
        <f t="shared" si="10"/>
        <v>Sep</v>
      </c>
      <c r="K665"/>
      <c r="L665"/>
      <c r="M665" s="6"/>
      <c r="N665" s="6"/>
      <c r="O665" s="6"/>
      <c r="P665" s="3"/>
      <c r="Q665" s="3"/>
      <c r="R665" s="3"/>
      <c r="S665" s="3"/>
    </row>
    <row r="666" spans="2:19" s="2" customFormat="1" hidden="1" x14ac:dyDescent="0.25">
      <c r="B666">
        <v>10678</v>
      </c>
      <c r="C666" t="s">
        <v>238</v>
      </c>
      <c r="D666" s="6">
        <v>43001</v>
      </c>
      <c r="E666" s="6">
        <v>43029</v>
      </c>
      <c r="F666" s="6">
        <v>43024</v>
      </c>
      <c r="G666" s="3" t="s">
        <v>646</v>
      </c>
      <c r="H666" s="3">
        <v>1944.9</v>
      </c>
      <c r="I666" s="3" t="s">
        <v>374</v>
      </c>
      <c r="J666" s="3" t="str">
        <f t="shared" si="10"/>
        <v>Sep</v>
      </c>
      <c r="K666"/>
      <c r="L666"/>
      <c r="M666" s="6"/>
      <c r="N666" s="6"/>
      <c r="O666" s="6"/>
      <c r="P666" s="3"/>
      <c r="Q666" s="3"/>
      <c r="R666" s="3"/>
      <c r="S666" s="3"/>
    </row>
    <row r="667" spans="2:19" s="2" customFormat="1" hidden="1" x14ac:dyDescent="0.25">
      <c r="B667">
        <v>10700</v>
      </c>
      <c r="C667" t="s">
        <v>238</v>
      </c>
      <c r="D667" s="6">
        <v>43018</v>
      </c>
      <c r="E667" s="6">
        <v>43046</v>
      </c>
      <c r="F667" s="6">
        <v>43024</v>
      </c>
      <c r="G667" s="3" t="s">
        <v>644</v>
      </c>
      <c r="H667" s="3">
        <v>325.5</v>
      </c>
      <c r="I667" s="3" t="s">
        <v>374</v>
      </c>
      <c r="J667" s="3" t="str">
        <f t="shared" si="10"/>
        <v>Oct</v>
      </c>
      <c r="K667"/>
      <c r="L667"/>
      <c r="M667" s="6"/>
      <c r="N667" s="6"/>
      <c r="O667" s="6"/>
      <c r="P667" s="3"/>
      <c r="Q667" s="3"/>
      <c r="R667" s="3"/>
      <c r="S667" s="3"/>
    </row>
    <row r="668" spans="2:19" s="2" customFormat="1" hidden="1" x14ac:dyDescent="0.25">
      <c r="B668">
        <v>10711</v>
      </c>
      <c r="C668" t="s">
        <v>238</v>
      </c>
      <c r="D668" s="6">
        <v>43029</v>
      </c>
      <c r="E668" s="6">
        <v>43071</v>
      </c>
      <c r="F668" s="6">
        <v>43037</v>
      </c>
      <c r="G668" s="3" t="s">
        <v>645</v>
      </c>
      <c r="H668" s="3">
        <v>262.04999999999995</v>
      </c>
      <c r="I668" s="3" t="s">
        <v>374</v>
      </c>
      <c r="J668" s="3" t="str">
        <f t="shared" si="10"/>
        <v>Oct</v>
      </c>
      <c r="K668"/>
      <c r="L668"/>
      <c r="M668" s="6"/>
      <c r="N668" s="6"/>
      <c r="O668" s="6"/>
      <c r="P668" s="3"/>
      <c r="Q668" s="3"/>
      <c r="R668" s="3"/>
      <c r="S668" s="3"/>
    </row>
    <row r="669" spans="2:19" s="2" customFormat="1" hidden="1" x14ac:dyDescent="0.25">
      <c r="B669">
        <v>10713</v>
      </c>
      <c r="C669" t="s">
        <v>238</v>
      </c>
      <c r="D669" s="6">
        <v>43030</v>
      </c>
      <c r="E669" s="6">
        <v>43058</v>
      </c>
      <c r="F669" s="6">
        <v>43032</v>
      </c>
      <c r="G669" s="3" t="s">
        <v>644</v>
      </c>
      <c r="H669" s="3">
        <v>835.25</v>
      </c>
      <c r="I669" s="3" t="s">
        <v>374</v>
      </c>
      <c r="J669" s="3" t="str">
        <f t="shared" si="10"/>
        <v>Oct</v>
      </c>
      <c r="K669"/>
      <c r="L669"/>
      <c r="M669" s="6"/>
      <c r="N669" s="6"/>
      <c r="O669" s="6"/>
      <c r="P669" s="3"/>
      <c r="Q669" s="3"/>
      <c r="R669" s="3"/>
      <c r="S669" s="3"/>
    </row>
    <row r="670" spans="2:19" s="2" customFormat="1" hidden="1" x14ac:dyDescent="0.25">
      <c r="B670">
        <v>10714</v>
      </c>
      <c r="C670" t="s">
        <v>238</v>
      </c>
      <c r="D670" s="6">
        <v>43030</v>
      </c>
      <c r="E670" s="6">
        <v>43058</v>
      </c>
      <c r="F670" s="6">
        <v>43035</v>
      </c>
      <c r="G670" s="3" t="s">
        <v>646</v>
      </c>
      <c r="H670" s="3">
        <v>122.44999999999999</v>
      </c>
      <c r="I670" s="3" t="s">
        <v>374</v>
      </c>
      <c r="J670" s="3" t="str">
        <f t="shared" si="10"/>
        <v>Oct</v>
      </c>
      <c r="K670"/>
      <c r="L670"/>
      <c r="M670" s="6"/>
      <c r="N670" s="6"/>
      <c r="O670" s="6"/>
      <c r="P670" s="3"/>
      <c r="Q670" s="3"/>
      <c r="R670" s="3"/>
      <c r="S670" s="3"/>
    </row>
    <row r="671" spans="2:19" s="2" customFormat="1" hidden="1" x14ac:dyDescent="0.25">
      <c r="B671">
        <v>10722</v>
      </c>
      <c r="C671" t="s">
        <v>238</v>
      </c>
      <c r="D671" s="6">
        <v>43037</v>
      </c>
      <c r="E671" s="6">
        <v>43079</v>
      </c>
      <c r="F671" s="6">
        <v>43043</v>
      </c>
      <c r="G671" s="3" t="s">
        <v>644</v>
      </c>
      <c r="H671" s="3">
        <v>372.9</v>
      </c>
      <c r="I671" s="3" t="s">
        <v>374</v>
      </c>
      <c r="J671" s="3" t="str">
        <f t="shared" si="10"/>
        <v>Oct</v>
      </c>
      <c r="K671"/>
      <c r="L671"/>
      <c r="M671" s="6"/>
      <c r="N671" s="6"/>
      <c r="O671" s="6"/>
      <c r="P671" s="3"/>
      <c r="Q671" s="3"/>
      <c r="R671" s="3"/>
      <c r="S671" s="3"/>
    </row>
    <row r="672" spans="2:19" s="2" customFormat="1" hidden="1" x14ac:dyDescent="0.25">
      <c r="B672">
        <v>10748</v>
      </c>
      <c r="C672" t="s">
        <v>238</v>
      </c>
      <c r="D672" s="6">
        <v>43059</v>
      </c>
      <c r="E672" s="6">
        <v>43087</v>
      </c>
      <c r="F672" s="6">
        <v>43067</v>
      </c>
      <c r="G672" s="3" t="s">
        <v>644</v>
      </c>
      <c r="H672" s="3">
        <v>1162.75</v>
      </c>
      <c r="I672" s="3" t="s">
        <v>374</v>
      </c>
      <c r="J672" s="3" t="str">
        <f t="shared" si="10"/>
        <v>Nov</v>
      </c>
      <c r="K672"/>
      <c r="L672"/>
      <c r="M672" s="6"/>
      <c r="N672" s="6"/>
      <c r="O672" s="6"/>
      <c r="P672" s="3"/>
      <c r="Q672" s="3"/>
      <c r="R672" s="3"/>
      <c r="S672" s="3"/>
    </row>
    <row r="673" spans="2:19" s="2" customFormat="1" hidden="1" x14ac:dyDescent="0.25">
      <c r="B673">
        <v>10757</v>
      </c>
      <c r="C673" t="s">
        <v>238</v>
      </c>
      <c r="D673" s="6">
        <v>43066</v>
      </c>
      <c r="E673" s="6">
        <v>43094</v>
      </c>
      <c r="F673" s="6">
        <v>43084</v>
      </c>
      <c r="G673" s="3" t="s">
        <v>644</v>
      </c>
      <c r="H673" s="3">
        <v>40.949999999999996</v>
      </c>
      <c r="I673" s="3" t="s">
        <v>374</v>
      </c>
      <c r="J673" s="3" t="str">
        <f t="shared" si="10"/>
        <v>Nov</v>
      </c>
      <c r="K673"/>
      <c r="L673"/>
      <c r="M673" s="6"/>
      <c r="N673" s="6"/>
      <c r="O673" s="6"/>
      <c r="P673" s="3"/>
      <c r="Q673" s="3"/>
      <c r="R673" s="3"/>
      <c r="S673" s="3"/>
    </row>
    <row r="674" spans="2:19" s="2" customFormat="1" hidden="1" x14ac:dyDescent="0.25">
      <c r="B674">
        <v>10815</v>
      </c>
      <c r="C674" t="s">
        <v>238</v>
      </c>
      <c r="D674" s="6">
        <v>43105</v>
      </c>
      <c r="E674" s="6">
        <v>43133</v>
      </c>
      <c r="F674" s="6">
        <v>43114</v>
      </c>
      <c r="G674" s="3" t="s">
        <v>646</v>
      </c>
      <c r="H674" s="3">
        <v>73.099999999999994</v>
      </c>
      <c r="I674" s="3" t="s">
        <v>374</v>
      </c>
      <c r="J674" s="3" t="str">
        <f t="shared" si="10"/>
        <v>Jan</v>
      </c>
      <c r="K674"/>
      <c r="L674"/>
      <c r="M674" s="6"/>
      <c r="N674" s="6"/>
      <c r="O674" s="6"/>
      <c r="P674" s="3"/>
      <c r="Q674" s="3"/>
      <c r="R674" s="3"/>
      <c r="S674" s="3"/>
    </row>
    <row r="675" spans="2:19" s="2" customFormat="1" hidden="1" x14ac:dyDescent="0.25">
      <c r="B675">
        <v>10847</v>
      </c>
      <c r="C675" t="s">
        <v>238</v>
      </c>
      <c r="D675" s="6">
        <v>43122</v>
      </c>
      <c r="E675" s="6">
        <v>43136</v>
      </c>
      <c r="F675" s="6">
        <v>43141</v>
      </c>
      <c r="G675" s="3" t="s">
        <v>646</v>
      </c>
      <c r="H675" s="3">
        <v>2437.85</v>
      </c>
      <c r="I675" s="3" t="s">
        <v>374</v>
      </c>
      <c r="J675" s="3" t="str">
        <f t="shared" si="10"/>
        <v>Jan</v>
      </c>
      <c r="K675"/>
      <c r="L675"/>
      <c r="M675" s="6"/>
      <c r="N675" s="6"/>
      <c r="O675" s="6"/>
      <c r="P675" s="3"/>
      <c r="Q675" s="3"/>
      <c r="R675" s="3"/>
      <c r="S675" s="3"/>
    </row>
    <row r="676" spans="2:19" s="2" customFormat="1" hidden="1" x14ac:dyDescent="0.25">
      <c r="B676">
        <v>10882</v>
      </c>
      <c r="C676" t="s">
        <v>238</v>
      </c>
      <c r="D676" s="6">
        <v>43142</v>
      </c>
      <c r="E676" s="6">
        <v>43170</v>
      </c>
      <c r="F676" s="6">
        <v>43151</v>
      </c>
      <c r="G676" s="3" t="s">
        <v>646</v>
      </c>
      <c r="H676" s="3">
        <v>115.5</v>
      </c>
      <c r="I676" s="3" t="s">
        <v>374</v>
      </c>
      <c r="J676" s="3" t="str">
        <f t="shared" si="10"/>
        <v>Feb</v>
      </c>
      <c r="K676"/>
      <c r="L676"/>
      <c r="M676" s="6"/>
      <c r="N676" s="6"/>
      <c r="O676" s="6"/>
      <c r="P676" s="3"/>
      <c r="Q676" s="3"/>
      <c r="R676" s="3"/>
      <c r="S676" s="3"/>
    </row>
    <row r="677" spans="2:19" s="2" customFormat="1" hidden="1" x14ac:dyDescent="0.25">
      <c r="B677">
        <v>10894</v>
      </c>
      <c r="C677" t="s">
        <v>238</v>
      </c>
      <c r="D677" s="6">
        <v>43149</v>
      </c>
      <c r="E677" s="6">
        <v>43177</v>
      </c>
      <c r="F677" s="6">
        <v>43151</v>
      </c>
      <c r="G677" s="3" t="s">
        <v>644</v>
      </c>
      <c r="H677" s="3">
        <v>580.65</v>
      </c>
      <c r="I677" s="3" t="s">
        <v>374</v>
      </c>
      <c r="J677" s="3" t="str">
        <f t="shared" si="10"/>
        <v>Feb</v>
      </c>
      <c r="K677"/>
      <c r="L677"/>
      <c r="M677" s="6"/>
      <c r="N677" s="6"/>
      <c r="O677" s="6"/>
      <c r="P677" s="3"/>
      <c r="Q677" s="3"/>
      <c r="R677" s="3"/>
      <c r="S677" s="3"/>
    </row>
    <row r="678" spans="2:19" s="2" customFormat="1" hidden="1" x14ac:dyDescent="0.25">
      <c r="B678">
        <v>10941</v>
      </c>
      <c r="C678" t="s">
        <v>238</v>
      </c>
      <c r="D678" s="6">
        <v>43170</v>
      </c>
      <c r="E678" s="6">
        <v>43198</v>
      </c>
      <c r="F678" s="6">
        <v>43179</v>
      </c>
      <c r="G678" s="3" t="s">
        <v>645</v>
      </c>
      <c r="H678" s="3">
        <v>2004.05</v>
      </c>
      <c r="I678" s="3" t="s">
        <v>374</v>
      </c>
      <c r="J678" s="3" t="str">
        <f t="shared" si="10"/>
        <v>Mar</v>
      </c>
      <c r="K678"/>
      <c r="L678"/>
      <c r="M678" s="6"/>
      <c r="N678" s="6"/>
      <c r="O678" s="6"/>
      <c r="P678" s="3"/>
      <c r="Q678" s="3"/>
      <c r="R678" s="3"/>
      <c r="S678" s="3"/>
    </row>
    <row r="679" spans="2:19" s="2" customFormat="1" hidden="1" x14ac:dyDescent="0.25">
      <c r="B679">
        <v>10983</v>
      </c>
      <c r="C679" t="s">
        <v>238</v>
      </c>
      <c r="D679" s="6">
        <v>43186</v>
      </c>
      <c r="E679" s="6">
        <v>43214</v>
      </c>
      <c r="F679" s="6">
        <v>43196</v>
      </c>
      <c r="G679" s="3" t="s">
        <v>645</v>
      </c>
      <c r="H679" s="3">
        <v>3287.7</v>
      </c>
      <c r="I679" s="3" t="s">
        <v>374</v>
      </c>
      <c r="J679" s="3" t="str">
        <f t="shared" si="10"/>
        <v>Mar</v>
      </c>
      <c r="K679"/>
      <c r="L679"/>
      <c r="M679" s="6"/>
      <c r="N679" s="6"/>
      <c r="O679" s="6"/>
      <c r="P679" s="3"/>
      <c r="Q679" s="3"/>
      <c r="R679" s="3"/>
      <c r="S679" s="3"/>
    </row>
    <row r="680" spans="2:19" s="2" customFormat="1" hidden="1" x14ac:dyDescent="0.25">
      <c r="B680">
        <v>10984</v>
      </c>
      <c r="C680" t="s">
        <v>238</v>
      </c>
      <c r="D680" s="6">
        <v>43189</v>
      </c>
      <c r="E680" s="6">
        <v>43217</v>
      </c>
      <c r="F680" s="6">
        <v>43193</v>
      </c>
      <c r="G680" s="3" t="s">
        <v>646</v>
      </c>
      <c r="H680" s="3">
        <v>1056.0999999999999</v>
      </c>
      <c r="I680" s="3" t="s">
        <v>374</v>
      </c>
      <c r="J680" s="3" t="str">
        <f t="shared" si="10"/>
        <v>Mar</v>
      </c>
      <c r="K680"/>
      <c r="L680"/>
      <c r="M680" s="6"/>
      <c r="N680" s="6"/>
      <c r="O680" s="6"/>
      <c r="P680" s="3"/>
      <c r="Q680" s="3"/>
      <c r="R680" s="3"/>
      <c r="S680" s="3"/>
    </row>
    <row r="681" spans="2:19" s="2" customFormat="1" hidden="1" x14ac:dyDescent="0.25">
      <c r="B681">
        <v>11002</v>
      </c>
      <c r="C681" t="s">
        <v>238</v>
      </c>
      <c r="D681" s="6">
        <v>43196</v>
      </c>
      <c r="E681" s="6">
        <v>43224</v>
      </c>
      <c r="F681" s="6">
        <v>43206</v>
      </c>
      <c r="G681" s="3" t="s">
        <v>644</v>
      </c>
      <c r="H681" s="3">
        <v>705.8</v>
      </c>
      <c r="I681" s="3" t="s">
        <v>374</v>
      </c>
      <c r="J681" s="3" t="str">
        <f t="shared" si="10"/>
        <v>Apr</v>
      </c>
      <c r="K681"/>
      <c r="L681"/>
      <c r="M681" s="6"/>
      <c r="N681" s="6"/>
      <c r="O681" s="6"/>
      <c r="P681" s="3"/>
      <c r="Q681" s="3"/>
      <c r="R681" s="3"/>
      <c r="S681" s="3"/>
    </row>
    <row r="682" spans="2:19" s="2" customFormat="1" hidden="1" x14ac:dyDescent="0.25">
      <c r="B682">
        <v>11030</v>
      </c>
      <c r="C682" t="s">
        <v>238</v>
      </c>
      <c r="D682" s="6">
        <v>43207</v>
      </c>
      <c r="E682" s="6">
        <v>43235</v>
      </c>
      <c r="F682" s="6">
        <v>43217</v>
      </c>
      <c r="G682" s="3" t="s">
        <v>645</v>
      </c>
      <c r="H682" s="3">
        <v>4153.75</v>
      </c>
      <c r="I682" s="3" t="s">
        <v>374</v>
      </c>
      <c r="J682" s="3" t="str">
        <f t="shared" si="10"/>
        <v>Apr</v>
      </c>
      <c r="K682"/>
      <c r="L682"/>
      <c r="M682" s="6"/>
      <c r="N682" s="6"/>
      <c r="O682" s="6"/>
      <c r="P682" s="3"/>
      <c r="Q682" s="3"/>
      <c r="R682" s="3"/>
      <c r="S682" s="3"/>
    </row>
    <row r="683" spans="2:19" s="2" customFormat="1" hidden="1" x14ac:dyDescent="0.25">
      <c r="B683">
        <v>11031</v>
      </c>
      <c r="C683" t="s">
        <v>238</v>
      </c>
      <c r="D683" s="6">
        <v>43207</v>
      </c>
      <c r="E683" s="6">
        <v>43235</v>
      </c>
      <c r="F683" s="6">
        <v>43214</v>
      </c>
      <c r="G683" s="3" t="s">
        <v>645</v>
      </c>
      <c r="H683" s="3">
        <v>1136.0999999999999</v>
      </c>
      <c r="I683" s="3" t="s">
        <v>374</v>
      </c>
      <c r="J683" s="3" t="str">
        <f t="shared" si="10"/>
        <v>Apr</v>
      </c>
      <c r="K683"/>
      <c r="L683"/>
      <c r="M683" s="6"/>
      <c r="N683" s="6"/>
      <c r="O683" s="6"/>
      <c r="P683" s="3"/>
      <c r="Q683" s="3"/>
      <c r="R683" s="3"/>
      <c r="S683" s="3"/>
    </row>
    <row r="684" spans="2:19" s="2" customFormat="1" hidden="1" x14ac:dyDescent="0.25">
      <c r="B684">
        <v>11064</v>
      </c>
      <c r="C684" t="s">
        <v>238</v>
      </c>
      <c r="D684" s="6">
        <v>43221</v>
      </c>
      <c r="E684" s="6">
        <v>43249</v>
      </c>
      <c r="F684" s="6">
        <v>43224</v>
      </c>
      <c r="G684" s="3" t="s">
        <v>644</v>
      </c>
      <c r="H684" s="3">
        <v>150.44999999999999</v>
      </c>
      <c r="I684" s="3" t="s">
        <v>374</v>
      </c>
      <c r="J684" s="3" t="str">
        <f t="shared" si="10"/>
        <v>May</v>
      </c>
      <c r="K684"/>
      <c r="L684"/>
      <c r="M684" s="6"/>
      <c r="N684" s="6"/>
      <c r="O684" s="6"/>
      <c r="P684" s="3"/>
      <c r="Q684" s="3"/>
      <c r="R684" s="3"/>
      <c r="S684" s="3"/>
    </row>
    <row r="685" spans="2:19" s="2" customFormat="1" hidden="1" x14ac:dyDescent="0.25">
      <c r="B685">
        <v>10359</v>
      </c>
      <c r="C685" t="s">
        <v>241</v>
      </c>
      <c r="D685" s="6">
        <v>42695</v>
      </c>
      <c r="E685" s="6">
        <v>42723</v>
      </c>
      <c r="F685" s="6">
        <v>42700</v>
      </c>
      <c r="G685" s="3" t="s">
        <v>646</v>
      </c>
      <c r="H685" s="3">
        <v>1442.15</v>
      </c>
      <c r="I685" s="3" t="s">
        <v>6</v>
      </c>
      <c r="J685" s="3" t="str">
        <f t="shared" si="10"/>
        <v>Nov</v>
      </c>
      <c r="K685"/>
      <c r="L685"/>
      <c r="M685" s="6"/>
      <c r="N685" s="6"/>
      <c r="O685" s="6"/>
      <c r="P685" s="3"/>
      <c r="Q685" s="3"/>
      <c r="R685" s="3"/>
      <c r="S685" s="3"/>
    </row>
    <row r="686" spans="2:19" s="2" customFormat="1" hidden="1" x14ac:dyDescent="0.25">
      <c r="B686">
        <v>10377</v>
      </c>
      <c r="C686" t="s">
        <v>241</v>
      </c>
      <c r="D686" s="6">
        <v>42713</v>
      </c>
      <c r="E686" s="6">
        <v>42741</v>
      </c>
      <c r="F686" s="6">
        <v>42717</v>
      </c>
      <c r="G686" s="3" t="s">
        <v>646</v>
      </c>
      <c r="H686" s="3">
        <v>111.05000000000001</v>
      </c>
      <c r="I686" s="3" t="s">
        <v>6</v>
      </c>
      <c r="J686" s="3" t="str">
        <f t="shared" si="10"/>
        <v>Dec</v>
      </c>
      <c r="K686"/>
      <c r="L686"/>
      <c r="M686" s="6"/>
      <c r="N686" s="6"/>
      <c r="O686" s="6"/>
      <c r="P686" s="3"/>
      <c r="Q686" s="3"/>
      <c r="R686" s="3"/>
      <c r="S686" s="3"/>
    </row>
    <row r="687" spans="2:19" s="2" customFormat="1" hidden="1" x14ac:dyDescent="0.25">
      <c r="B687">
        <v>10388</v>
      </c>
      <c r="C687" t="s">
        <v>241</v>
      </c>
      <c r="D687" s="6">
        <v>42723</v>
      </c>
      <c r="E687" s="6">
        <v>42751</v>
      </c>
      <c r="F687" s="6">
        <v>42724</v>
      </c>
      <c r="G687" s="3" t="s">
        <v>644</v>
      </c>
      <c r="H687" s="3">
        <v>174.3</v>
      </c>
      <c r="I687" s="3" t="s">
        <v>6</v>
      </c>
      <c r="J687" s="3" t="str">
        <f t="shared" si="10"/>
        <v>Dec</v>
      </c>
      <c r="K687"/>
      <c r="L687"/>
      <c r="M687" s="6"/>
      <c r="N687" s="6"/>
      <c r="O687" s="6"/>
      <c r="P687" s="3"/>
      <c r="Q687" s="3"/>
      <c r="R687" s="3"/>
      <c r="S687" s="3"/>
    </row>
    <row r="688" spans="2:19" s="2" customFormat="1" hidden="1" x14ac:dyDescent="0.25">
      <c r="B688">
        <v>10472</v>
      </c>
      <c r="C688" t="s">
        <v>241</v>
      </c>
      <c r="D688" s="6">
        <v>42806</v>
      </c>
      <c r="E688" s="6">
        <v>42834</v>
      </c>
      <c r="F688" s="6">
        <v>42813</v>
      </c>
      <c r="G688" s="3" t="s">
        <v>644</v>
      </c>
      <c r="H688" s="3">
        <v>21</v>
      </c>
      <c r="I688" s="3" t="s">
        <v>6</v>
      </c>
      <c r="J688" s="3" t="str">
        <f t="shared" si="10"/>
        <v>Mar</v>
      </c>
      <c r="K688"/>
      <c r="L688"/>
      <c r="M688" s="6"/>
      <c r="N688" s="6"/>
      <c r="O688" s="6"/>
      <c r="P688" s="3"/>
      <c r="Q688" s="3"/>
      <c r="R688" s="3"/>
      <c r="S688" s="3"/>
    </row>
    <row r="689" spans="2:19" s="2" customFormat="1" hidden="1" x14ac:dyDescent="0.25">
      <c r="B689">
        <v>10523</v>
      </c>
      <c r="C689" t="s">
        <v>241</v>
      </c>
      <c r="D689" s="6">
        <v>42856</v>
      </c>
      <c r="E689" s="6">
        <v>42884</v>
      </c>
      <c r="F689" s="6">
        <v>42885</v>
      </c>
      <c r="G689" s="3" t="s">
        <v>645</v>
      </c>
      <c r="H689" s="3">
        <v>388.15</v>
      </c>
      <c r="I689" s="3" t="s">
        <v>6</v>
      </c>
      <c r="J689" s="3" t="str">
        <f t="shared" si="10"/>
        <v>May</v>
      </c>
      <c r="K689"/>
      <c r="L689"/>
      <c r="M689" s="6"/>
      <c r="N689" s="6"/>
      <c r="O689" s="6"/>
      <c r="P689" s="3"/>
      <c r="Q689" s="3"/>
      <c r="R689" s="3"/>
      <c r="S689" s="3"/>
    </row>
    <row r="690" spans="2:19" s="2" customFormat="1" hidden="1" x14ac:dyDescent="0.25">
      <c r="B690">
        <v>10547</v>
      </c>
      <c r="C690" t="s">
        <v>241</v>
      </c>
      <c r="D690" s="6">
        <v>42878</v>
      </c>
      <c r="E690" s="6">
        <v>42906</v>
      </c>
      <c r="F690" s="6">
        <v>42888</v>
      </c>
      <c r="G690" s="3" t="s">
        <v>645</v>
      </c>
      <c r="H690" s="3">
        <v>892.15000000000009</v>
      </c>
      <c r="I690" s="3" t="s">
        <v>6</v>
      </c>
      <c r="J690" s="3" t="str">
        <f t="shared" si="10"/>
        <v>May</v>
      </c>
      <c r="K690"/>
      <c r="L690"/>
      <c r="M690" s="6"/>
      <c r="N690" s="6"/>
      <c r="O690" s="6"/>
      <c r="P690" s="3"/>
      <c r="Q690" s="3"/>
      <c r="R690" s="3"/>
      <c r="S690" s="3"/>
    </row>
    <row r="691" spans="2:19" s="2" customFormat="1" hidden="1" x14ac:dyDescent="0.25">
      <c r="B691">
        <v>10800</v>
      </c>
      <c r="C691" t="s">
        <v>241</v>
      </c>
      <c r="D691" s="6">
        <v>43095</v>
      </c>
      <c r="E691" s="6">
        <v>43123</v>
      </c>
      <c r="F691" s="6">
        <v>43105</v>
      </c>
      <c r="G691" s="3" t="s">
        <v>646</v>
      </c>
      <c r="H691" s="3">
        <v>687.2</v>
      </c>
      <c r="I691" s="3" t="s">
        <v>6</v>
      </c>
      <c r="J691" s="3" t="str">
        <f t="shared" si="10"/>
        <v>Dec</v>
      </c>
      <c r="K691"/>
      <c r="L691"/>
      <c r="M691" s="6"/>
      <c r="N691" s="6"/>
      <c r="O691" s="6"/>
      <c r="P691" s="3"/>
      <c r="Q691" s="3"/>
      <c r="R691" s="3"/>
      <c r="S691" s="3"/>
    </row>
    <row r="692" spans="2:19" s="2" customFormat="1" hidden="1" x14ac:dyDescent="0.25">
      <c r="B692">
        <v>10804</v>
      </c>
      <c r="C692" t="s">
        <v>241</v>
      </c>
      <c r="D692" s="6">
        <v>43099</v>
      </c>
      <c r="E692" s="6">
        <v>43127</v>
      </c>
      <c r="F692" s="6">
        <v>43107</v>
      </c>
      <c r="G692" s="3" t="s">
        <v>645</v>
      </c>
      <c r="H692" s="3">
        <v>136.64999999999998</v>
      </c>
      <c r="I692" s="3" t="s">
        <v>6</v>
      </c>
      <c r="J692" s="3" t="str">
        <f t="shared" si="10"/>
        <v>Dec</v>
      </c>
      <c r="K692"/>
      <c r="L692"/>
      <c r="M692" s="6"/>
      <c r="N692" s="6"/>
      <c r="O692" s="6"/>
      <c r="P692" s="3"/>
      <c r="Q692" s="3"/>
      <c r="R692" s="3"/>
      <c r="S692" s="3"/>
    </row>
    <row r="693" spans="2:19" s="2" customFormat="1" hidden="1" x14ac:dyDescent="0.25">
      <c r="B693">
        <v>10869</v>
      </c>
      <c r="C693" t="s">
        <v>241</v>
      </c>
      <c r="D693" s="6">
        <v>43135</v>
      </c>
      <c r="E693" s="6">
        <v>43163</v>
      </c>
      <c r="F693" s="6">
        <v>43140</v>
      </c>
      <c r="G693" s="3" t="s">
        <v>644</v>
      </c>
      <c r="H693" s="3">
        <v>716.4</v>
      </c>
      <c r="I693" s="3" t="s">
        <v>6</v>
      </c>
      <c r="J693" s="3" t="str">
        <f t="shared" si="10"/>
        <v>Feb</v>
      </c>
      <c r="K693"/>
      <c r="L693"/>
      <c r="M693" s="6"/>
      <c r="N693" s="6"/>
      <c r="O693" s="6"/>
      <c r="P693" s="3"/>
      <c r="Q693" s="3"/>
      <c r="R693" s="3"/>
      <c r="S693" s="3"/>
    </row>
    <row r="694" spans="2:19" s="2" customFormat="1" hidden="1" x14ac:dyDescent="0.25">
      <c r="B694">
        <v>10341</v>
      </c>
      <c r="C694" t="s">
        <v>244</v>
      </c>
      <c r="D694" s="6">
        <v>42672</v>
      </c>
      <c r="E694" s="6">
        <v>42700</v>
      </c>
      <c r="F694" s="6">
        <v>42679</v>
      </c>
      <c r="G694" s="3" t="s">
        <v>646</v>
      </c>
      <c r="H694" s="3">
        <v>133.9</v>
      </c>
      <c r="I694" s="3" t="s">
        <v>5</v>
      </c>
      <c r="J694" s="3" t="str">
        <f t="shared" si="10"/>
        <v>Oct</v>
      </c>
      <c r="K694"/>
      <c r="L694"/>
      <c r="M694" s="6"/>
      <c r="N694" s="6"/>
      <c r="O694" s="6"/>
      <c r="P694" s="3"/>
      <c r="Q694" s="3"/>
      <c r="R694" s="3"/>
      <c r="S694" s="3"/>
    </row>
    <row r="695" spans="2:19" s="2" customFormat="1" hidden="1" x14ac:dyDescent="0.25">
      <c r="B695">
        <v>10417</v>
      </c>
      <c r="C695" t="s">
        <v>244</v>
      </c>
      <c r="D695" s="6">
        <v>42751</v>
      </c>
      <c r="E695" s="6">
        <v>42779</v>
      </c>
      <c r="F695" s="6">
        <v>42763</v>
      </c>
      <c r="G695" s="3" t="s">
        <v>646</v>
      </c>
      <c r="H695" s="3">
        <v>351.45000000000005</v>
      </c>
      <c r="I695" s="3" t="s">
        <v>5</v>
      </c>
      <c r="J695" s="3" t="str">
        <f t="shared" si="10"/>
        <v>Jan</v>
      </c>
      <c r="K695"/>
      <c r="L695"/>
      <c r="M695" s="6"/>
      <c r="N695" s="6"/>
      <c r="O695" s="6"/>
      <c r="P695" s="3"/>
      <c r="Q695" s="3"/>
      <c r="R695" s="3"/>
      <c r="S695" s="3"/>
    </row>
    <row r="696" spans="2:19" s="2" customFormat="1" hidden="1" x14ac:dyDescent="0.25">
      <c r="B696">
        <v>10556</v>
      </c>
      <c r="C696" t="s">
        <v>244</v>
      </c>
      <c r="D696" s="6">
        <v>42889</v>
      </c>
      <c r="E696" s="6">
        <v>42931</v>
      </c>
      <c r="F696" s="6">
        <v>42899</v>
      </c>
      <c r="G696" s="3" t="s">
        <v>644</v>
      </c>
      <c r="H696" s="3">
        <v>49</v>
      </c>
      <c r="I696" s="3" t="s">
        <v>5</v>
      </c>
      <c r="J696" s="3" t="str">
        <f t="shared" si="10"/>
        <v>Jun</v>
      </c>
      <c r="K696"/>
      <c r="L696"/>
      <c r="M696" s="6"/>
      <c r="N696" s="6"/>
      <c r="O696" s="6"/>
      <c r="P696" s="3"/>
      <c r="Q696" s="3"/>
      <c r="R696" s="3"/>
      <c r="S696" s="3"/>
    </row>
    <row r="697" spans="2:19" s="2" customFormat="1" hidden="1" x14ac:dyDescent="0.25">
      <c r="B697">
        <v>10642</v>
      </c>
      <c r="C697" t="s">
        <v>244</v>
      </c>
      <c r="D697" s="6">
        <v>42969</v>
      </c>
      <c r="E697" s="6">
        <v>42997</v>
      </c>
      <c r="F697" s="6">
        <v>42983</v>
      </c>
      <c r="G697" s="3" t="s">
        <v>646</v>
      </c>
      <c r="H697" s="3">
        <v>209.45</v>
      </c>
      <c r="I697" s="3" t="s">
        <v>5</v>
      </c>
      <c r="J697" s="3" t="str">
        <f t="shared" si="10"/>
        <v>Aug</v>
      </c>
      <c r="K697"/>
      <c r="L697"/>
      <c r="M697" s="6"/>
      <c r="N697" s="6"/>
      <c r="O697" s="6"/>
      <c r="P697" s="3"/>
      <c r="Q697" s="3"/>
      <c r="R697" s="3"/>
      <c r="S697" s="3"/>
    </row>
    <row r="698" spans="2:19" s="2" customFormat="1" hidden="1" x14ac:dyDescent="0.25">
      <c r="B698">
        <v>10669</v>
      </c>
      <c r="C698" t="s">
        <v>244</v>
      </c>
      <c r="D698" s="6">
        <v>42993</v>
      </c>
      <c r="E698" s="6">
        <v>43021</v>
      </c>
      <c r="F698" s="6">
        <v>43000</v>
      </c>
      <c r="G698" s="3" t="s">
        <v>644</v>
      </c>
      <c r="H698" s="3">
        <v>121.95</v>
      </c>
      <c r="I698" s="3" t="s">
        <v>5</v>
      </c>
      <c r="J698" s="3" t="str">
        <f t="shared" si="10"/>
        <v>Sep</v>
      </c>
      <c r="K698"/>
      <c r="L698"/>
      <c r="M698" s="6"/>
      <c r="N698" s="6"/>
      <c r="O698" s="6"/>
      <c r="P698" s="3"/>
      <c r="Q698" s="3"/>
      <c r="R698" s="3"/>
      <c r="S698" s="3"/>
    </row>
    <row r="699" spans="2:19" s="2" customFormat="1" hidden="1" x14ac:dyDescent="0.25">
      <c r="B699">
        <v>10802</v>
      </c>
      <c r="C699" t="s">
        <v>244</v>
      </c>
      <c r="D699" s="6">
        <v>43098</v>
      </c>
      <c r="E699" s="6">
        <v>43126</v>
      </c>
      <c r="F699" s="6">
        <v>43102</v>
      </c>
      <c r="G699" s="3" t="s">
        <v>645</v>
      </c>
      <c r="H699" s="3">
        <v>1286.3</v>
      </c>
      <c r="I699" s="3" t="s">
        <v>5</v>
      </c>
      <c r="J699" s="3" t="str">
        <f t="shared" si="10"/>
        <v>Dec</v>
      </c>
      <c r="K699"/>
      <c r="L699"/>
      <c r="M699" s="6"/>
      <c r="N699" s="6"/>
      <c r="O699" s="6"/>
      <c r="P699" s="3"/>
      <c r="Q699" s="3"/>
      <c r="R699" s="3"/>
      <c r="S699" s="3"/>
    </row>
    <row r="700" spans="2:19" s="2" customFormat="1" hidden="1" x14ac:dyDescent="0.25">
      <c r="B700">
        <v>11074</v>
      </c>
      <c r="C700" t="s">
        <v>244</v>
      </c>
      <c r="D700" s="6">
        <v>43226</v>
      </c>
      <c r="E700" s="6">
        <v>43254</v>
      </c>
      <c r="F700" s="6"/>
      <c r="G700" s="3" t="s">
        <v>645</v>
      </c>
      <c r="H700" s="3">
        <v>92.2</v>
      </c>
      <c r="I700" s="3" t="s">
        <v>5</v>
      </c>
      <c r="J700" s="3" t="str">
        <f t="shared" si="10"/>
        <v>May</v>
      </c>
      <c r="K700"/>
      <c r="L700"/>
      <c r="M700" s="6"/>
      <c r="N700" s="6"/>
      <c r="O700" s="6"/>
      <c r="P700" s="3"/>
      <c r="Q700" s="3"/>
      <c r="R700" s="3"/>
      <c r="S700" s="3"/>
    </row>
    <row r="701" spans="2:19" s="2" customFormat="1" hidden="1" x14ac:dyDescent="0.25">
      <c r="B701">
        <v>10738</v>
      </c>
      <c r="C701" t="s">
        <v>247</v>
      </c>
      <c r="D701" s="6">
        <v>43051</v>
      </c>
      <c r="E701" s="6">
        <v>43079</v>
      </c>
      <c r="F701" s="6">
        <v>43057</v>
      </c>
      <c r="G701" s="3" t="s">
        <v>644</v>
      </c>
      <c r="H701" s="3">
        <v>14.55</v>
      </c>
      <c r="I701" s="3" t="s">
        <v>375</v>
      </c>
      <c r="J701" s="3" t="str">
        <f t="shared" si="10"/>
        <v>Nov</v>
      </c>
      <c r="K701"/>
      <c r="L701"/>
      <c r="M701" s="6"/>
      <c r="N701" s="6"/>
      <c r="O701" s="6"/>
      <c r="P701" s="3"/>
      <c r="Q701" s="3"/>
      <c r="R701" s="3"/>
      <c r="S701" s="3"/>
    </row>
    <row r="702" spans="2:19" s="2" customFormat="1" hidden="1" x14ac:dyDescent="0.25">
      <c r="B702">
        <v>10907</v>
      </c>
      <c r="C702" t="s">
        <v>247</v>
      </c>
      <c r="D702" s="6">
        <v>43156</v>
      </c>
      <c r="E702" s="6">
        <v>43184</v>
      </c>
      <c r="F702" s="6">
        <v>43158</v>
      </c>
      <c r="G702" s="3" t="s">
        <v>646</v>
      </c>
      <c r="H702" s="3">
        <v>45.949999999999996</v>
      </c>
      <c r="I702" s="3" t="s">
        <v>375</v>
      </c>
      <c r="J702" s="3" t="str">
        <f t="shared" si="10"/>
        <v>Feb</v>
      </c>
      <c r="K702"/>
      <c r="L702"/>
      <c r="M702" s="6"/>
      <c r="N702" s="6"/>
      <c r="O702" s="6"/>
      <c r="P702" s="3"/>
      <c r="Q702" s="3"/>
      <c r="R702" s="3"/>
      <c r="S702" s="3"/>
    </row>
    <row r="703" spans="2:19" s="2" customFormat="1" hidden="1" x14ac:dyDescent="0.25">
      <c r="B703">
        <v>10964</v>
      </c>
      <c r="C703" t="s">
        <v>247</v>
      </c>
      <c r="D703" s="6">
        <v>43179</v>
      </c>
      <c r="E703" s="6">
        <v>43207</v>
      </c>
      <c r="F703" s="6">
        <v>43183</v>
      </c>
      <c r="G703" s="3" t="s">
        <v>645</v>
      </c>
      <c r="H703" s="3">
        <v>436.9</v>
      </c>
      <c r="I703" s="3" t="s">
        <v>375</v>
      </c>
      <c r="J703" s="3" t="str">
        <f t="shared" si="10"/>
        <v>Mar</v>
      </c>
      <c r="K703"/>
      <c r="L703"/>
      <c r="M703" s="6"/>
      <c r="N703" s="6"/>
      <c r="O703" s="6"/>
      <c r="P703" s="3"/>
      <c r="Q703" s="3"/>
      <c r="R703" s="3"/>
      <c r="S703" s="3"/>
    </row>
    <row r="704" spans="2:19" s="2" customFormat="1" hidden="1" x14ac:dyDescent="0.25">
      <c r="B704">
        <v>11043</v>
      </c>
      <c r="C704" t="s">
        <v>247</v>
      </c>
      <c r="D704" s="6">
        <v>43212</v>
      </c>
      <c r="E704" s="6">
        <v>43240</v>
      </c>
      <c r="F704" s="6">
        <v>43219</v>
      </c>
      <c r="G704" s="3" t="s">
        <v>645</v>
      </c>
      <c r="H704" s="3">
        <v>44</v>
      </c>
      <c r="I704" s="3" t="s">
        <v>375</v>
      </c>
      <c r="J704" s="3" t="str">
        <f t="shared" si="10"/>
        <v>Apr</v>
      </c>
      <c r="K704"/>
      <c r="L704"/>
      <c r="M704" s="6"/>
      <c r="N704" s="6"/>
      <c r="O704" s="6"/>
      <c r="P704" s="3"/>
      <c r="Q704" s="3"/>
      <c r="R704" s="3"/>
      <c r="S704" s="3"/>
    </row>
    <row r="705" spans="2:19" s="2" customFormat="1" hidden="1" x14ac:dyDescent="0.25">
      <c r="B705">
        <v>10271</v>
      </c>
      <c r="C705" t="s">
        <v>250</v>
      </c>
      <c r="D705" s="6">
        <v>42583</v>
      </c>
      <c r="E705" s="6">
        <v>42611</v>
      </c>
      <c r="F705" s="6">
        <v>42612</v>
      </c>
      <c r="G705" s="3" t="s">
        <v>645</v>
      </c>
      <c r="H705" s="3">
        <v>22.7</v>
      </c>
      <c r="I705" s="3" t="s">
        <v>376</v>
      </c>
      <c r="J705" s="3" t="str">
        <f t="shared" si="10"/>
        <v>Aug</v>
      </c>
      <c r="K705"/>
      <c r="L705"/>
      <c r="M705" s="6"/>
      <c r="N705" s="6"/>
      <c r="O705" s="6"/>
      <c r="P705" s="3"/>
      <c r="Q705" s="3"/>
      <c r="R705" s="3"/>
      <c r="S705" s="3"/>
    </row>
    <row r="706" spans="2:19" s="2" customFormat="1" hidden="1" x14ac:dyDescent="0.25">
      <c r="B706">
        <v>10329</v>
      </c>
      <c r="C706" t="s">
        <v>250</v>
      </c>
      <c r="D706" s="6">
        <v>42658</v>
      </c>
      <c r="E706" s="6">
        <v>42700</v>
      </c>
      <c r="F706" s="6">
        <v>42666</v>
      </c>
      <c r="G706" s="3" t="s">
        <v>645</v>
      </c>
      <c r="H706" s="3">
        <v>958.34999999999991</v>
      </c>
      <c r="I706" s="3" t="s">
        <v>376</v>
      </c>
      <c r="J706" s="3" t="str">
        <f t="shared" si="10"/>
        <v>Oct</v>
      </c>
      <c r="K706"/>
      <c r="L706"/>
      <c r="M706" s="6"/>
      <c r="N706" s="6"/>
      <c r="O706" s="6"/>
      <c r="P706" s="3"/>
      <c r="Q706" s="3"/>
      <c r="R706" s="3"/>
      <c r="S706" s="3"/>
    </row>
    <row r="707" spans="2:19" s="2" customFormat="1" hidden="1" x14ac:dyDescent="0.25">
      <c r="B707">
        <v>10349</v>
      </c>
      <c r="C707" t="s">
        <v>250</v>
      </c>
      <c r="D707" s="6">
        <v>42682</v>
      </c>
      <c r="E707" s="6">
        <v>42710</v>
      </c>
      <c r="F707" s="6">
        <v>42689</v>
      </c>
      <c r="G707" s="3" t="s">
        <v>644</v>
      </c>
      <c r="H707" s="3">
        <v>43.150000000000006</v>
      </c>
      <c r="I707" s="3" t="s">
        <v>376</v>
      </c>
      <c r="J707" s="3" t="str">
        <f t="shared" si="10"/>
        <v>Nov</v>
      </c>
      <c r="K707"/>
      <c r="L707"/>
      <c r="M707" s="6"/>
      <c r="N707" s="6"/>
      <c r="O707" s="6"/>
      <c r="P707" s="3"/>
      <c r="Q707" s="3"/>
      <c r="R707" s="3"/>
      <c r="S707" s="3"/>
    </row>
    <row r="708" spans="2:19" s="2" customFormat="1" hidden="1" x14ac:dyDescent="0.25">
      <c r="B708">
        <v>10369</v>
      </c>
      <c r="C708" t="s">
        <v>250</v>
      </c>
      <c r="D708" s="6">
        <v>42706</v>
      </c>
      <c r="E708" s="6">
        <v>42734</v>
      </c>
      <c r="F708" s="6">
        <v>42713</v>
      </c>
      <c r="G708" s="3" t="s">
        <v>645</v>
      </c>
      <c r="H708" s="3">
        <v>978.40000000000009</v>
      </c>
      <c r="I708" s="3" t="s">
        <v>376</v>
      </c>
      <c r="J708" s="3" t="str">
        <f t="shared" si="10"/>
        <v>Dec</v>
      </c>
      <c r="K708"/>
      <c r="L708"/>
      <c r="M708" s="6"/>
      <c r="N708" s="6"/>
      <c r="O708" s="6"/>
      <c r="P708" s="3"/>
      <c r="Q708" s="3"/>
      <c r="R708" s="3"/>
      <c r="S708" s="3"/>
    </row>
    <row r="709" spans="2:19" s="2" customFormat="1" hidden="1" x14ac:dyDescent="0.25">
      <c r="B709">
        <v>10385</v>
      </c>
      <c r="C709" t="s">
        <v>250</v>
      </c>
      <c r="D709" s="6">
        <v>42721</v>
      </c>
      <c r="E709" s="6">
        <v>42749</v>
      </c>
      <c r="F709" s="6">
        <v>42727</v>
      </c>
      <c r="G709" s="3" t="s">
        <v>645</v>
      </c>
      <c r="H709" s="3">
        <v>154.80000000000001</v>
      </c>
      <c r="I709" s="3" t="s">
        <v>376</v>
      </c>
      <c r="J709" s="3" t="str">
        <f t="shared" si="10"/>
        <v>Dec</v>
      </c>
      <c r="K709"/>
      <c r="L709"/>
      <c r="M709" s="6"/>
      <c r="N709" s="6"/>
      <c r="O709" s="6"/>
      <c r="P709" s="3"/>
      <c r="Q709" s="3"/>
      <c r="R709" s="3"/>
      <c r="S709" s="3"/>
    </row>
    <row r="710" spans="2:19" s="2" customFormat="1" hidden="1" x14ac:dyDescent="0.25">
      <c r="B710">
        <v>10432</v>
      </c>
      <c r="C710" t="s">
        <v>250</v>
      </c>
      <c r="D710" s="6">
        <v>42766</v>
      </c>
      <c r="E710" s="6">
        <v>42780</v>
      </c>
      <c r="F710" s="6">
        <v>42773</v>
      </c>
      <c r="G710" s="3" t="s">
        <v>645</v>
      </c>
      <c r="H710" s="3">
        <v>21.7</v>
      </c>
      <c r="I710" s="3" t="s">
        <v>376</v>
      </c>
      <c r="J710" s="3" t="str">
        <f t="shared" si="10"/>
        <v>Jan</v>
      </c>
      <c r="K710"/>
      <c r="L710"/>
      <c r="M710" s="6"/>
      <c r="N710" s="6"/>
      <c r="O710" s="6"/>
      <c r="P710" s="3"/>
      <c r="Q710" s="3"/>
      <c r="R710" s="3"/>
      <c r="S710" s="3"/>
    </row>
    <row r="711" spans="2:19" s="2" customFormat="1" hidden="1" x14ac:dyDescent="0.25">
      <c r="B711">
        <v>10756</v>
      </c>
      <c r="C711" t="s">
        <v>250</v>
      </c>
      <c r="D711" s="6">
        <v>43066</v>
      </c>
      <c r="E711" s="6">
        <v>43094</v>
      </c>
      <c r="F711" s="6">
        <v>43071</v>
      </c>
      <c r="G711" s="3" t="s">
        <v>645</v>
      </c>
      <c r="H711" s="3">
        <v>366.04999999999995</v>
      </c>
      <c r="I711" s="3" t="s">
        <v>376</v>
      </c>
      <c r="J711" s="3" t="str">
        <f t="shared" si="10"/>
        <v>Nov</v>
      </c>
      <c r="K711"/>
      <c r="L711"/>
      <c r="M711" s="6"/>
      <c r="N711" s="6"/>
      <c r="O711" s="6"/>
      <c r="P711" s="3"/>
      <c r="Q711" s="3"/>
      <c r="R711" s="3"/>
      <c r="S711" s="3"/>
    </row>
    <row r="712" spans="2:19" s="2" customFormat="1" hidden="1" x14ac:dyDescent="0.25">
      <c r="B712">
        <v>10821</v>
      </c>
      <c r="C712" t="s">
        <v>250</v>
      </c>
      <c r="D712" s="6">
        <v>43108</v>
      </c>
      <c r="E712" s="6">
        <v>43136</v>
      </c>
      <c r="F712" s="6">
        <v>43115</v>
      </c>
      <c r="G712" s="3" t="s">
        <v>644</v>
      </c>
      <c r="H712" s="3">
        <v>183.4</v>
      </c>
      <c r="I712" s="3" t="s">
        <v>376</v>
      </c>
      <c r="J712" s="3" t="str">
        <f t="shared" si="10"/>
        <v>Jan</v>
      </c>
      <c r="K712"/>
      <c r="L712"/>
      <c r="M712" s="6"/>
      <c r="N712" s="6"/>
      <c r="O712" s="6"/>
      <c r="P712" s="3"/>
      <c r="Q712" s="3"/>
      <c r="R712" s="3"/>
      <c r="S712" s="3"/>
    </row>
    <row r="713" spans="2:19" s="2" customFormat="1" hidden="1" x14ac:dyDescent="0.25">
      <c r="B713">
        <v>10974</v>
      </c>
      <c r="C713" t="s">
        <v>250</v>
      </c>
      <c r="D713" s="6">
        <v>43184</v>
      </c>
      <c r="E713" s="6">
        <v>43198</v>
      </c>
      <c r="F713" s="6">
        <v>43193</v>
      </c>
      <c r="G713" s="3" t="s">
        <v>646</v>
      </c>
      <c r="H713" s="3">
        <v>64.800000000000011</v>
      </c>
      <c r="I713" s="3" t="s">
        <v>376</v>
      </c>
      <c r="J713" s="3" t="str">
        <f t="shared" si="10"/>
        <v>Mar</v>
      </c>
      <c r="K713"/>
      <c r="L713"/>
      <c r="M713" s="6"/>
      <c r="N713" s="6"/>
      <c r="O713" s="6"/>
      <c r="P713" s="3"/>
      <c r="Q713" s="3"/>
      <c r="R713" s="3"/>
      <c r="S713" s="3"/>
    </row>
    <row r="714" spans="2:19" s="2" customFormat="1" hidden="1" x14ac:dyDescent="0.25">
      <c r="B714">
        <v>10252</v>
      </c>
      <c r="C714" t="s">
        <v>254</v>
      </c>
      <c r="D714" s="6">
        <v>42560</v>
      </c>
      <c r="E714" s="6">
        <v>42588</v>
      </c>
      <c r="F714" s="6">
        <v>42562</v>
      </c>
      <c r="G714" s="3" t="s">
        <v>645</v>
      </c>
      <c r="H714" s="3">
        <v>256.5</v>
      </c>
      <c r="I714" s="3" t="s">
        <v>377</v>
      </c>
      <c r="J714" s="3" t="str">
        <f t="shared" si="10"/>
        <v>Jul</v>
      </c>
      <c r="K714"/>
      <c r="L714"/>
      <c r="M714" s="6"/>
      <c r="N714" s="6"/>
      <c r="O714" s="6"/>
      <c r="P714" s="3"/>
      <c r="Q714" s="3"/>
      <c r="R714" s="3"/>
      <c r="S714" s="3"/>
    </row>
    <row r="715" spans="2:19" s="2" customFormat="1" hidden="1" x14ac:dyDescent="0.25">
      <c r="B715">
        <v>10302</v>
      </c>
      <c r="C715" t="s">
        <v>254</v>
      </c>
      <c r="D715" s="6">
        <v>42623</v>
      </c>
      <c r="E715" s="6">
        <v>42651</v>
      </c>
      <c r="F715" s="6">
        <v>42652</v>
      </c>
      <c r="G715" s="3" t="s">
        <v>645</v>
      </c>
      <c r="H715" s="3">
        <v>31.349999999999998</v>
      </c>
      <c r="I715" s="3" t="s">
        <v>377</v>
      </c>
      <c r="J715" s="3" t="str">
        <f t="shared" si="10"/>
        <v>Sep</v>
      </c>
      <c r="K715"/>
      <c r="L715"/>
      <c r="M715" s="6"/>
      <c r="N715" s="6"/>
      <c r="O715" s="6"/>
      <c r="P715" s="3"/>
      <c r="Q715" s="3"/>
      <c r="R715" s="3"/>
      <c r="S715" s="3"/>
    </row>
    <row r="716" spans="2:19" s="2" customFormat="1" hidden="1" x14ac:dyDescent="0.25">
      <c r="B716">
        <v>10458</v>
      </c>
      <c r="C716" t="s">
        <v>254</v>
      </c>
      <c r="D716" s="6">
        <v>42792</v>
      </c>
      <c r="E716" s="6">
        <v>42820</v>
      </c>
      <c r="F716" s="6">
        <v>42798</v>
      </c>
      <c r="G716" s="3" t="s">
        <v>646</v>
      </c>
      <c r="H716" s="3">
        <v>735.3</v>
      </c>
      <c r="I716" s="3" t="s">
        <v>377</v>
      </c>
      <c r="J716" s="3" t="str">
        <f t="shared" si="10"/>
        <v>Feb</v>
      </c>
      <c r="K716"/>
      <c r="L716"/>
      <c r="M716" s="6"/>
      <c r="N716" s="6"/>
      <c r="O716" s="6"/>
      <c r="P716" s="3"/>
      <c r="Q716" s="3"/>
      <c r="R716" s="3"/>
      <c r="S716" s="3"/>
    </row>
    <row r="717" spans="2:19" s="2" customFormat="1" hidden="1" x14ac:dyDescent="0.25">
      <c r="B717">
        <v>10463</v>
      </c>
      <c r="C717" t="s">
        <v>254</v>
      </c>
      <c r="D717" s="6">
        <v>42798</v>
      </c>
      <c r="E717" s="6">
        <v>42826</v>
      </c>
      <c r="F717" s="6">
        <v>42800</v>
      </c>
      <c r="G717" s="3" t="s">
        <v>646</v>
      </c>
      <c r="H717" s="3">
        <v>73.899999999999991</v>
      </c>
      <c r="I717" s="3" t="s">
        <v>377</v>
      </c>
      <c r="J717" s="3" t="str">
        <f t="shared" si="10"/>
        <v>Mar</v>
      </c>
      <c r="K717"/>
      <c r="L717"/>
      <c r="M717" s="6"/>
      <c r="N717" s="6"/>
      <c r="O717" s="6"/>
      <c r="P717" s="3"/>
      <c r="Q717" s="3"/>
      <c r="R717" s="3"/>
      <c r="S717" s="3"/>
    </row>
    <row r="718" spans="2:19" s="2" customFormat="1" hidden="1" x14ac:dyDescent="0.25">
      <c r="B718">
        <v>10475</v>
      </c>
      <c r="C718" t="s">
        <v>254</v>
      </c>
      <c r="D718" s="6">
        <v>42808</v>
      </c>
      <c r="E718" s="6">
        <v>42836</v>
      </c>
      <c r="F718" s="6">
        <v>42829</v>
      </c>
      <c r="G718" s="3" t="s">
        <v>644</v>
      </c>
      <c r="H718" s="3">
        <v>342.59999999999997</v>
      </c>
      <c r="I718" s="3" t="s">
        <v>377</v>
      </c>
      <c r="J718" s="3" t="str">
        <f t="shared" si="10"/>
        <v>Mar</v>
      </c>
      <c r="K718"/>
      <c r="L718"/>
      <c r="M718" s="6"/>
      <c r="N718" s="6"/>
      <c r="O718" s="6"/>
      <c r="P718" s="3"/>
      <c r="Q718" s="3"/>
      <c r="R718" s="3"/>
      <c r="S718" s="3"/>
    </row>
    <row r="719" spans="2:19" s="2" customFormat="1" hidden="1" x14ac:dyDescent="0.25">
      <c r="B719">
        <v>10767</v>
      </c>
      <c r="C719" t="s">
        <v>254</v>
      </c>
      <c r="D719" s="6">
        <v>43074</v>
      </c>
      <c r="E719" s="6">
        <v>43102</v>
      </c>
      <c r="F719" s="6">
        <v>43084</v>
      </c>
      <c r="G719" s="3" t="s">
        <v>646</v>
      </c>
      <c r="H719" s="3">
        <v>7.95</v>
      </c>
      <c r="I719" s="3" t="s">
        <v>377</v>
      </c>
      <c r="J719" s="3" t="str">
        <f t="shared" si="10"/>
        <v>Dec</v>
      </c>
      <c r="K719"/>
      <c r="L719"/>
      <c r="M719" s="6"/>
      <c r="N719" s="6"/>
      <c r="O719" s="6"/>
      <c r="P719" s="3"/>
      <c r="Q719" s="3"/>
      <c r="R719" s="3"/>
      <c r="S719" s="3"/>
    </row>
    <row r="720" spans="2:19" s="2" customFormat="1" hidden="1" x14ac:dyDescent="0.25">
      <c r="B720">
        <v>10841</v>
      </c>
      <c r="C720" t="s">
        <v>254</v>
      </c>
      <c r="D720" s="6">
        <v>43120</v>
      </c>
      <c r="E720" s="6">
        <v>43148</v>
      </c>
      <c r="F720" s="6">
        <v>43129</v>
      </c>
      <c r="G720" s="3" t="s">
        <v>645</v>
      </c>
      <c r="H720" s="3">
        <v>2121.5</v>
      </c>
      <c r="I720" s="3" t="s">
        <v>377</v>
      </c>
      <c r="J720" s="3" t="str">
        <f t="shared" si="10"/>
        <v>Jan</v>
      </c>
      <c r="K720"/>
      <c r="L720"/>
      <c r="M720" s="6"/>
      <c r="N720" s="6"/>
      <c r="O720" s="6"/>
      <c r="P720" s="3"/>
      <c r="Q720" s="3"/>
      <c r="R720" s="3"/>
      <c r="S720" s="3"/>
    </row>
    <row r="721" spans="2:19" s="2" customFormat="1" hidden="1" x14ac:dyDescent="0.25">
      <c r="B721">
        <v>10846</v>
      </c>
      <c r="C721" t="s">
        <v>254</v>
      </c>
      <c r="D721" s="6">
        <v>43122</v>
      </c>
      <c r="E721" s="6">
        <v>43164</v>
      </c>
      <c r="F721" s="6">
        <v>43123</v>
      </c>
      <c r="G721" s="3" t="s">
        <v>646</v>
      </c>
      <c r="H721" s="3">
        <v>282.3</v>
      </c>
      <c r="I721" s="3" t="s">
        <v>377</v>
      </c>
      <c r="J721" s="3" t="str">
        <f t="shared" ref="J721:J784" si="11">TEXT(D721,"mmm")</f>
        <v>Jan</v>
      </c>
      <c r="K721"/>
      <c r="L721"/>
      <c r="M721" s="6"/>
      <c r="N721" s="6"/>
      <c r="O721" s="6"/>
      <c r="P721" s="3"/>
      <c r="Q721" s="3"/>
      <c r="R721" s="3"/>
      <c r="S721" s="3"/>
    </row>
    <row r="722" spans="2:19" s="2" customFormat="1" hidden="1" x14ac:dyDescent="0.25">
      <c r="B722">
        <v>10885</v>
      </c>
      <c r="C722" t="s">
        <v>254</v>
      </c>
      <c r="D722" s="6">
        <v>43143</v>
      </c>
      <c r="E722" s="6">
        <v>43171</v>
      </c>
      <c r="F722" s="6">
        <v>43149</v>
      </c>
      <c r="G722" s="3" t="s">
        <v>646</v>
      </c>
      <c r="H722" s="3">
        <v>28.2</v>
      </c>
      <c r="I722" s="3" t="s">
        <v>377</v>
      </c>
      <c r="J722" s="3" t="str">
        <f t="shared" si="11"/>
        <v>Feb</v>
      </c>
      <c r="K722"/>
      <c r="L722"/>
      <c r="M722" s="6"/>
      <c r="N722" s="6"/>
      <c r="O722" s="6"/>
      <c r="P722" s="3"/>
      <c r="Q722" s="3"/>
      <c r="R722" s="3"/>
      <c r="S722" s="3"/>
    </row>
    <row r="723" spans="2:19" s="2" customFormat="1" hidden="1" x14ac:dyDescent="0.25">
      <c r="B723">
        <v>10930</v>
      </c>
      <c r="C723" t="s">
        <v>254</v>
      </c>
      <c r="D723" s="6">
        <v>43165</v>
      </c>
      <c r="E723" s="6">
        <v>43207</v>
      </c>
      <c r="F723" s="6">
        <v>43177</v>
      </c>
      <c r="G723" s="3" t="s">
        <v>646</v>
      </c>
      <c r="H723" s="3">
        <v>77.75</v>
      </c>
      <c r="I723" s="3" t="s">
        <v>377</v>
      </c>
      <c r="J723" s="3" t="str">
        <f t="shared" si="11"/>
        <v>Mar</v>
      </c>
      <c r="K723"/>
      <c r="L723"/>
      <c r="M723" s="6"/>
      <c r="N723" s="6"/>
      <c r="O723" s="6"/>
      <c r="P723" s="3"/>
      <c r="Q723" s="3"/>
      <c r="R723" s="3"/>
      <c r="S723" s="3"/>
    </row>
    <row r="724" spans="2:19" s="2" customFormat="1" hidden="1" x14ac:dyDescent="0.25">
      <c r="B724">
        <v>11035</v>
      </c>
      <c r="C724" t="s">
        <v>254</v>
      </c>
      <c r="D724" s="6">
        <v>43210</v>
      </c>
      <c r="E724" s="6">
        <v>43238</v>
      </c>
      <c r="F724" s="6">
        <v>43214</v>
      </c>
      <c r="G724" s="3" t="s">
        <v>645</v>
      </c>
      <c r="H724" s="3">
        <v>0.85000000000000009</v>
      </c>
      <c r="I724" s="3" t="s">
        <v>377</v>
      </c>
      <c r="J724" s="3" t="str">
        <f t="shared" si="11"/>
        <v>Apr</v>
      </c>
      <c r="K724"/>
      <c r="L724"/>
      <c r="M724" s="6"/>
      <c r="N724" s="6"/>
      <c r="O724" s="6"/>
      <c r="P724" s="3"/>
      <c r="Q724" s="3"/>
      <c r="R724" s="3"/>
      <c r="S724" s="3"/>
    </row>
    <row r="725" spans="2:19" s="2" customFormat="1" hidden="1" x14ac:dyDescent="0.25">
      <c r="B725">
        <v>11038</v>
      </c>
      <c r="C725" t="s">
        <v>254</v>
      </c>
      <c r="D725" s="6">
        <v>43211</v>
      </c>
      <c r="E725" s="6">
        <v>43239</v>
      </c>
      <c r="F725" s="6">
        <v>43220</v>
      </c>
      <c r="G725" s="3" t="s">
        <v>645</v>
      </c>
      <c r="H725" s="3">
        <v>147.94999999999999</v>
      </c>
      <c r="I725" s="3" t="s">
        <v>377</v>
      </c>
      <c r="J725" s="3" t="str">
        <f t="shared" si="11"/>
        <v>Apr</v>
      </c>
      <c r="K725"/>
      <c r="L725"/>
      <c r="M725" s="6"/>
      <c r="N725" s="6"/>
      <c r="O725" s="6"/>
      <c r="P725" s="3"/>
      <c r="Q725" s="3"/>
      <c r="R725" s="3"/>
      <c r="S725" s="3"/>
    </row>
    <row r="726" spans="2:19" s="2" customFormat="1" hidden="1" x14ac:dyDescent="0.25">
      <c r="B726">
        <v>10310</v>
      </c>
      <c r="C726" t="s">
        <v>257</v>
      </c>
      <c r="D726" s="6">
        <v>42633</v>
      </c>
      <c r="E726" s="6">
        <v>42661</v>
      </c>
      <c r="F726" s="6">
        <v>42640</v>
      </c>
      <c r="G726" s="3" t="s">
        <v>645</v>
      </c>
      <c r="H726" s="3">
        <v>87.6</v>
      </c>
      <c r="I726" s="3" t="s">
        <v>4</v>
      </c>
      <c r="J726" s="3" t="str">
        <f t="shared" si="11"/>
        <v>Sep</v>
      </c>
      <c r="K726"/>
      <c r="L726"/>
      <c r="M726" s="6"/>
      <c r="N726" s="6"/>
      <c r="O726" s="6"/>
      <c r="P726" s="3"/>
      <c r="Q726" s="3"/>
      <c r="R726" s="3"/>
      <c r="S726" s="3"/>
    </row>
    <row r="727" spans="2:19" s="2" customFormat="1" hidden="1" x14ac:dyDescent="0.25">
      <c r="B727">
        <v>10708</v>
      </c>
      <c r="C727" t="s">
        <v>257</v>
      </c>
      <c r="D727" s="6">
        <v>43025</v>
      </c>
      <c r="E727" s="6">
        <v>43067</v>
      </c>
      <c r="F727" s="6">
        <v>43044</v>
      </c>
      <c r="G727" s="3" t="s">
        <v>645</v>
      </c>
      <c r="H727" s="3">
        <v>14.8</v>
      </c>
      <c r="I727" s="3" t="s">
        <v>4</v>
      </c>
      <c r="J727" s="3" t="str">
        <f t="shared" si="11"/>
        <v>Oct</v>
      </c>
      <c r="K727"/>
      <c r="L727"/>
      <c r="M727" s="6"/>
      <c r="N727" s="6"/>
      <c r="O727" s="6"/>
      <c r="P727" s="3"/>
      <c r="Q727" s="3"/>
      <c r="R727" s="3"/>
      <c r="S727" s="3"/>
    </row>
    <row r="728" spans="2:19" s="2" customFormat="1" hidden="1" x14ac:dyDescent="0.25">
      <c r="B728">
        <v>10805</v>
      </c>
      <c r="C728" t="s">
        <v>257</v>
      </c>
      <c r="D728" s="6">
        <v>43099</v>
      </c>
      <c r="E728" s="6">
        <v>43127</v>
      </c>
      <c r="F728" s="6">
        <v>43109</v>
      </c>
      <c r="G728" s="3" t="s">
        <v>646</v>
      </c>
      <c r="H728" s="3">
        <v>1186.7</v>
      </c>
      <c r="I728" s="3" t="s">
        <v>4</v>
      </c>
      <c r="J728" s="3" t="str">
        <f t="shared" si="11"/>
        <v>Dec</v>
      </c>
      <c r="K728"/>
      <c r="L728"/>
      <c r="M728" s="6"/>
      <c r="N728" s="6"/>
      <c r="O728" s="6"/>
      <c r="P728" s="3"/>
      <c r="Q728" s="3"/>
      <c r="R728" s="3"/>
      <c r="S728" s="3"/>
    </row>
    <row r="729" spans="2:19" s="2" customFormat="1" hidden="1" x14ac:dyDescent="0.25">
      <c r="B729">
        <v>10992</v>
      </c>
      <c r="C729" t="s">
        <v>257</v>
      </c>
      <c r="D729" s="6">
        <v>43191</v>
      </c>
      <c r="E729" s="6">
        <v>43219</v>
      </c>
      <c r="F729" s="6">
        <v>43193</v>
      </c>
      <c r="G729" s="3" t="s">
        <v>646</v>
      </c>
      <c r="H729" s="3">
        <v>21.349999999999998</v>
      </c>
      <c r="I729" s="3" t="s">
        <v>4</v>
      </c>
      <c r="J729" s="3" t="str">
        <f t="shared" si="11"/>
        <v>Apr</v>
      </c>
      <c r="K729"/>
      <c r="L729"/>
      <c r="M729" s="6"/>
      <c r="N729" s="6"/>
      <c r="O729" s="6"/>
      <c r="P729" s="3"/>
      <c r="Q729" s="3"/>
      <c r="R729" s="3"/>
      <c r="S729" s="3"/>
    </row>
    <row r="730" spans="2:19" s="2" customFormat="1" hidden="1" x14ac:dyDescent="0.25">
      <c r="B730">
        <v>10624</v>
      </c>
      <c r="C730" t="s">
        <v>259</v>
      </c>
      <c r="D730" s="6">
        <v>42954</v>
      </c>
      <c r="E730" s="6">
        <v>42982</v>
      </c>
      <c r="F730" s="6">
        <v>42966</v>
      </c>
      <c r="G730" s="3" t="s">
        <v>645</v>
      </c>
      <c r="H730" s="3">
        <v>474</v>
      </c>
      <c r="I730" s="3" t="s">
        <v>3</v>
      </c>
      <c r="J730" s="3" t="str">
        <f t="shared" si="11"/>
        <v>Aug</v>
      </c>
      <c r="K730"/>
      <c r="L730"/>
      <c r="M730" s="6"/>
      <c r="N730" s="6"/>
      <c r="O730" s="6"/>
      <c r="P730" s="3"/>
      <c r="Q730" s="3"/>
      <c r="R730" s="3"/>
      <c r="S730" s="3"/>
    </row>
    <row r="731" spans="2:19" s="2" customFormat="1" hidden="1" x14ac:dyDescent="0.25">
      <c r="B731">
        <v>10775</v>
      </c>
      <c r="C731" t="s">
        <v>259</v>
      </c>
      <c r="D731" s="6">
        <v>43081</v>
      </c>
      <c r="E731" s="6">
        <v>43109</v>
      </c>
      <c r="F731" s="6">
        <v>43095</v>
      </c>
      <c r="G731" s="3" t="s">
        <v>644</v>
      </c>
      <c r="H731" s="3">
        <v>101.25</v>
      </c>
      <c r="I731" s="3" t="s">
        <v>3</v>
      </c>
      <c r="J731" s="3" t="str">
        <f t="shared" si="11"/>
        <v>Dec</v>
      </c>
      <c r="K731"/>
      <c r="L731"/>
      <c r="M731" s="6"/>
      <c r="N731" s="6"/>
      <c r="O731" s="6"/>
      <c r="P731" s="3"/>
      <c r="Q731" s="3"/>
      <c r="R731" s="3"/>
      <c r="S731" s="3"/>
    </row>
    <row r="732" spans="2:19" s="2" customFormat="1" hidden="1" x14ac:dyDescent="0.25">
      <c r="B732">
        <v>11003</v>
      </c>
      <c r="C732" t="s">
        <v>259</v>
      </c>
      <c r="D732" s="6">
        <v>43196</v>
      </c>
      <c r="E732" s="6">
        <v>43224</v>
      </c>
      <c r="F732" s="6">
        <v>43198</v>
      </c>
      <c r="G732" s="3" t="s">
        <v>646</v>
      </c>
      <c r="H732" s="3">
        <v>74.55</v>
      </c>
      <c r="I732" s="3" t="s">
        <v>3</v>
      </c>
      <c r="J732" s="3" t="str">
        <f t="shared" si="11"/>
        <v>Apr</v>
      </c>
      <c r="K732"/>
      <c r="L732"/>
      <c r="M732" s="6"/>
      <c r="N732" s="6"/>
      <c r="O732" s="6"/>
      <c r="P732" s="3"/>
      <c r="Q732" s="3"/>
      <c r="R732" s="3"/>
      <c r="S732" s="3"/>
    </row>
    <row r="733" spans="2:19" s="2" customFormat="1" hidden="1" x14ac:dyDescent="0.25">
      <c r="B733">
        <v>10438</v>
      </c>
      <c r="C733" t="s">
        <v>263</v>
      </c>
      <c r="D733" s="6">
        <v>42772</v>
      </c>
      <c r="E733" s="6">
        <v>42800</v>
      </c>
      <c r="F733" s="6">
        <v>42780</v>
      </c>
      <c r="G733" s="3" t="s">
        <v>645</v>
      </c>
      <c r="H733" s="3">
        <v>41.2</v>
      </c>
      <c r="I733" s="3" t="s">
        <v>378</v>
      </c>
      <c r="J733" s="3" t="str">
        <f t="shared" si="11"/>
        <v>Feb</v>
      </c>
      <c r="K733"/>
      <c r="L733"/>
      <c r="M733" s="6"/>
      <c r="N733" s="6"/>
      <c r="O733" s="6"/>
      <c r="P733" s="3"/>
      <c r="Q733" s="3"/>
      <c r="R733" s="3"/>
      <c r="S733" s="3"/>
    </row>
    <row r="734" spans="2:19" s="2" customFormat="1" hidden="1" x14ac:dyDescent="0.25">
      <c r="B734">
        <v>10446</v>
      </c>
      <c r="C734" t="s">
        <v>263</v>
      </c>
      <c r="D734" s="6">
        <v>42780</v>
      </c>
      <c r="E734" s="6">
        <v>42808</v>
      </c>
      <c r="F734" s="6">
        <v>42785</v>
      </c>
      <c r="G734" s="3" t="s">
        <v>644</v>
      </c>
      <c r="H734" s="3">
        <v>73.400000000000006</v>
      </c>
      <c r="I734" s="3" t="s">
        <v>378</v>
      </c>
      <c r="J734" s="3" t="str">
        <f t="shared" si="11"/>
        <v>Feb</v>
      </c>
      <c r="K734"/>
      <c r="L734"/>
      <c r="M734" s="6"/>
      <c r="N734" s="6"/>
      <c r="O734" s="6"/>
      <c r="P734" s="3"/>
      <c r="Q734" s="3"/>
      <c r="R734" s="3"/>
      <c r="S734" s="3"/>
    </row>
    <row r="735" spans="2:19" s="2" customFormat="1" hidden="1" x14ac:dyDescent="0.25">
      <c r="B735">
        <v>10548</v>
      </c>
      <c r="C735" t="s">
        <v>263</v>
      </c>
      <c r="D735" s="6">
        <v>42881</v>
      </c>
      <c r="E735" s="6">
        <v>42909</v>
      </c>
      <c r="F735" s="6">
        <v>42888</v>
      </c>
      <c r="G735" s="3" t="s">
        <v>645</v>
      </c>
      <c r="H735" s="3">
        <v>7.1499999999999995</v>
      </c>
      <c r="I735" s="3" t="s">
        <v>378</v>
      </c>
      <c r="J735" s="3" t="str">
        <f t="shared" si="11"/>
        <v>May</v>
      </c>
      <c r="K735"/>
      <c r="L735"/>
      <c r="M735" s="6"/>
      <c r="N735" s="6"/>
      <c r="O735" s="6"/>
      <c r="P735" s="3"/>
      <c r="Q735" s="3"/>
      <c r="R735" s="3"/>
      <c r="S735" s="3"/>
    </row>
    <row r="736" spans="2:19" s="2" customFormat="1" hidden="1" x14ac:dyDescent="0.25">
      <c r="B736">
        <v>10608</v>
      </c>
      <c r="C736" t="s">
        <v>263</v>
      </c>
      <c r="D736" s="6">
        <v>42939</v>
      </c>
      <c r="E736" s="6">
        <v>42967</v>
      </c>
      <c r="F736" s="6">
        <v>42948</v>
      </c>
      <c r="G736" s="3" t="s">
        <v>645</v>
      </c>
      <c r="H736" s="3">
        <v>138.94999999999999</v>
      </c>
      <c r="I736" s="3" t="s">
        <v>378</v>
      </c>
      <c r="J736" s="3" t="str">
        <f t="shared" si="11"/>
        <v>Jul</v>
      </c>
      <c r="K736"/>
      <c r="L736"/>
      <c r="M736" s="6"/>
      <c r="N736" s="6"/>
      <c r="O736" s="6"/>
      <c r="P736" s="3"/>
      <c r="Q736" s="3"/>
      <c r="R736" s="3"/>
      <c r="S736" s="3"/>
    </row>
    <row r="737" spans="2:19" s="2" customFormat="1" hidden="1" x14ac:dyDescent="0.25">
      <c r="B737">
        <v>10967</v>
      </c>
      <c r="C737" t="s">
        <v>263</v>
      </c>
      <c r="D737" s="6">
        <v>43182</v>
      </c>
      <c r="E737" s="6">
        <v>43210</v>
      </c>
      <c r="F737" s="6">
        <v>43192</v>
      </c>
      <c r="G737" s="3" t="s">
        <v>645</v>
      </c>
      <c r="H737" s="3">
        <v>311.10000000000002</v>
      </c>
      <c r="I737" s="3" t="s">
        <v>378</v>
      </c>
      <c r="J737" s="3" t="str">
        <f t="shared" si="11"/>
        <v>Mar</v>
      </c>
      <c r="K737"/>
      <c r="L737"/>
      <c r="M737" s="6"/>
      <c r="N737" s="6"/>
      <c r="O737" s="6"/>
      <c r="P737" s="3"/>
      <c r="Q737" s="3"/>
      <c r="R737" s="3"/>
      <c r="S737" s="3"/>
    </row>
    <row r="738" spans="2:19" s="2" customFormat="1" hidden="1" x14ac:dyDescent="0.25">
      <c r="B738">
        <v>10276</v>
      </c>
      <c r="C738" t="s">
        <v>266</v>
      </c>
      <c r="D738" s="6">
        <v>42590</v>
      </c>
      <c r="E738" s="6">
        <v>42604</v>
      </c>
      <c r="F738" s="6">
        <v>42596</v>
      </c>
      <c r="G738" s="3" t="s">
        <v>646</v>
      </c>
      <c r="H738" s="3">
        <v>69.2</v>
      </c>
      <c r="I738" s="3" t="s">
        <v>2</v>
      </c>
      <c r="J738" s="3" t="str">
        <f t="shared" si="11"/>
        <v>Aug</v>
      </c>
      <c r="K738"/>
      <c r="L738"/>
      <c r="M738" s="6"/>
      <c r="N738" s="6"/>
      <c r="O738" s="6"/>
      <c r="P738" s="3"/>
      <c r="Q738" s="3"/>
      <c r="R738" s="3"/>
      <c r="S738" s="3"/>
    </row>
    <row r="739" spans="2:19" s="2" customFormat="1" hidden="1" x14ac:dyDescent="0.25">
      <c r="B739">
        <v>10293</v>
      </c>
      <c r="C739" t="s">
        <v>266</v>
      </c>
      <c r="D739" s="6">
        <v>42611</v>
      </c>
      <c r="E739" s="6">
        <v>42639</v>
      </c>
      <c r="F739" s="6">
        <v>42624</v>
      </c>
      <c r="G739" s="3" t="s">
        <v>646</v>
      </c>
      <c r="H739" s="3">
        <v>105.9</v>
      </c>
      <c r="I739" s="3" t="s">
        <v>2</v>
      </c>
      <c r="J739" s="3" t="str">
        <f t="shared" si="11"/>
        <v>Aug</v>
      </c>
      <c r="K739"/>
      <c r="L739"/>
      <c r="M739" s="6"/>
      <c r="N739" s="6"/>
      <c r="O739" s="6"/>
      <c r="P739" s="3"/>
      <c r="Q739" s="3"/>
      <c r="R739" s="3"/>
      <c r="S739" s="3"/>
    </row>
    <row r="740" spans="2:19" s="2" customFormat="1" hidden="1" x14ac:dyDescent="0.25">
      <c r="B740">
        <v>10304</v>
      </c>
      <c r="C740" t="s">
        <v>266</v>
      </c>
      <c r="D740" s="6">
        <v>42625</v>
      </c>
      <c r="E740" s="6">
        <v>42653</v>
      </c>
      <c r="F740" s="6">
        <v>42630</v>
      </c>
      <c r="G740" s="3" t="s">
        <v>645</v>
      </c>
      <c r="H740" s="3">
        <v>318.95</v>
      </c>
      <c r="I740" s="3" t="s">
        <v>2</v>
      </c>
      <c r="J740" s="3" t="str">
        <f t="shared" si="11"/>
        <v>Sep</v>
      </c>
      <c r="K740"/>
      <c r="L740"/>
      <c r="M740" s="6"/>
      <c r="N740" s="6"/>
      <c r="O740" s="6"/>
      <c r="P740" s="3"/>
      <c r="Q740" s="3"/>
      <c r="R740" s="3"/>
      <c r="S740" s="3"/>
    </row>
    <row r="741" spans="2:19" s="2" customFormat="1" hidden="1" x14ac:dyDescent="0.25">
      <c r="B741">
        <v>10319</v>
      </c>
      <c r="C741" t="s">
        <v>266</v>
      </c>
      <c r="D741" s="6">
        <v>42645</v>
      </c>
      <c r="E741" s="6">
        <v>42673</v>
      </c>
      <c r="F741" s="6">
        <v>42654</v>
      </c>
      <c r="G741" s="3" t="s">
        <v>646</v>
      </c>
      <c r="H741" s="3">
        <v>322.5</v>
      </c>
      <c r="I741" s="3" t="s">
        <v>2</v>
      </c>
      <c r="J741" s="3" t="str">
        <f t="shared" si="11"/>
        <v>Oct</v>
      </c>
      <c r="K741"/>
      <c r="L741"/>
      <c r="M741" s="6"/>
      <c r="N741" s="6"/>
      <c r="O741" s="6"/>
      <c r="P741" s="3"/>
      <c r="Q741" s="3"/>
      <c r="R741" s="3"/>
      <c r="S741" s="3"/>
    </row>
    <row r="742" spans="2:19" s="2" customFormat="1" hidden="1" x14ac:dyDescent="0.25">
      <c r="B742">
        <v>10518</v>
      </c>
      <c r="C742" t="s">
        <v>266</v>
      </c>
      <c r="D742" s="6">
        <v>42850</v>
      </c>
      <c r="E742" s="6">
        <v>42864</v>
      </c>
      <c r="F742" s="6">
        <v>42860</v>
      </c>
      <c r="G742" s="3" t="s">
        <v>645</v>
      </c>
      <c r="H742" s="3">
        <v>1090.75</v>
      </c>
      <c r="I742" s="3" t="s">
        <v>2</v>
      </c>
      <c r="J742" s="3" t="str">
        <f t="shared" si="11"/>
        <v>Apr</v>
      </c>
      <c r="K742"/>
      <c r="L742"/>
      <c r="M742" s="6"/>
      <c r="N742" s="6"/>
      <c r="O742" s="6"/>
      <c r="P742" s="3"/>
      <c r="Q742" s="3"/>
      <c r="R742" s="3"/>
      <c r="S742" s="3"/>
    </row>
    <row r="743" spans="2:19" s="2" customFormat="1" hidden="1" x14ac:dyDescent="0.25">
      <c r="B743">
        <v>10576</v>
      </c>
      <c r="C743" t="s">
        <v>266</v>
      </c>
      <c r="D743" s="6">
        <v>42909</v>
      </c>
      <c r="E743" s="6">
        <v>42923</v>
      </c>
      <c r="F743" s="6">
        <v>42916</v>
      </c>
      <c r="G743" s="3" t="s">
        <v>646</v>
      </c>
      <c r="H743" s="3">
        <v>92.8</v>
      </c>
      <c r="I743" s="3" t="s">
        <v>2</v>
      </c>
      <c r="J743" s="3" t="str">
        <f t="shared" si="11"/>
        <v>Jun</v>
      </c>
      <c r="K743"/>
      <c r="L743"/>
      <c r="M743" s="6"/>
      <c r="N743" s="6"/>
      <c r="O743" s="6"/>
      <c r="P743" s="3"/>
      <c r="Q743" s="3"/>
      <c r="R743" s="3"/>
      <c r="S743" s="3"/>
    </row>
    <row r="744" spans="2:19" s="2" customFormat="1" hidden="1" x14ac:dyDescent="0.25">
      <c r="B744">
        <v>10676</v>
      </c>
      <c r="C744" t="s">
        <v>266</v>
      </c>
      <c r="D744" s="6">
        <v>43000</v>
      </c>
      <c r="E744" s="6">
        <v>43028</v>
      </c>
      <c r="F744" s="6">
        <v>43007</v>
      </c>
      <c r="G744" s="3" t="s">
        <v>645</v>
      </c>
      <c r="H744" s="3">
        <v>10.049999999999999</v>
      </c>
      <c r="I744" s="3" t="s">
        <v>2</v>
      </c>
      <c r="J744" s="3" t="str">
        <f t="shared" si="11"/>
        <v>Sep</v>
      </c>
      <c r="K744"/>
      <c r="L744"/>
      <c r="M744" s="6"/>
      <c r="N744" s="6"/>
      <c r="O744" s="6"/>
      <c r="P744" s="3"/>
      <c r="Q744" s="3"/>
      <c r="R744" s="3"/>
      <c r="S744" s="3"/>
    </row>
    <row r="745" spans="2:19" s="2" customFormat="1" hidden="1" x14ac:dyDescent="0.25">
      <c r="B745">
        <v>10842</v>
      </c>
      <c r="C745" t="s">
        <v>266</v>
      </c>
      <c r="D745" s="6">
        <v>43120</v>
      </c>
      <c r="E745" s="6">
        <v>43148</v>
      </c>
      <c r="F745" s="6">
        <v>43129</v>
      </c>
      <c r="G745" s="3" t="s">
        <v>646</v>
      </c>
      <c r="H745" s="3">
        <v>272.10000000000002</v>
      </c>
      <c r="I745" s="3" t="s">
        <v>2</v>
      </c>
      <c r="J745" s="3" t="str">
        <f t="shared" si="11"/>
        <v>Jan</v>
      </c>
      <c r="K745"/>
      <c r="L745"/>
      <c r="M745" s="6"/>
      <c r="N745" s="6"/>
      <c r="O745" s="6"/>
      <c r="P745" s="3"/>
      <c r="Q745" s="3"/>
      <c r="R745" s="3"/>
      <c r="S745" s="3"/>
    </row>
    <row r="746" spans="2:19" s="2" customFormat="1" hidden="1" x14ac:dyDescent="0.25">
      <c r="B746">
        <v>10915</v>
      </c>
      <c r="C746" t="s">
        <v>266</v>
      </c>
      <c r="D746" s="6">
        <v>43158</v>
      </c>
      <c r="E746" s="6">
        <v>43186</v>
      </c>
      <c r="F746" s="6">
        <v>43161</v>
      </c>
      <c r="G746" s="3" t="s">
        <v>645</v>
      </c>
      <c r="H746" s="3">
        <v>17.549999999999997</v>
      </c>
      <c r="I746" s="3" t="s">
        <v>2</v>
      </c>
      <c r="J746" s="3" t="str">
        <f t="shared" si="11"/>
        <v>Feb</v>
      </c>
      <c r="K746"/>
      <c r="L746"/>
      <c r="M746" s="6"/>
      <c r="N746" s="6"/>
      <c r="O746" s="6"/>
      <c r="P746" s="3"/>
      <c r="Q746" s="3"/>
      <c r="R746" s="3"/>
      <c r="S746" s="3"/>
    </row>
    <row r="747" spans="2:19" s="2" customFormat="1" hidden="1" x14ac:dyDescent="0.25">
      <c r="B747">
        <v>11069</v>
      </c>
      <c r="C747" t="s">
        <v>266</v>
      </c>
      <c r="D747" s="6">
        <v>43224</v>
      </c>
      <c r="E747" s="6">
        <v>43252</v>
      </c>
      <c r="F747" s="6">
        <v>43226</v>
      </c>
      <c r="G747" s="3" t="s">
        <v>645</v>
      </c>
      <c r="H747" s="3">
        <v>78.349999999999994</v>
      </c>
      <c r="I747" s="3" t="s">
        <v>2</v>
      </c>
      <c r="J747" s="3" t="str">
        <f t="shared" si="11"/>
        <v>May</v>
      </c>
      <c r="K747"/>
      <c r="L747"/>
      <c r="M747" s="6"/>
      <c r="N747" s="6"/>
      <c r="O747" s="6"/>
      <c r="P747" s="3"/>
      <c r="Q747" s="3"/>
      <c r="R747" s="3"/>
      <c r="S747" s="3"/>
    </row>
    <row r="748" spans="2:19" s="2" customFormat="1" hidden="1" x14ac:dyDescent="0.25">
      <c r="B748">
        <v>10249</v>
      </c>
      <c r="C748" t="s">
        <v>268</v>
      </c>
      <c r="D748" s="6">
        <v>42556</v>
      </c>
      <c r="E748" s="6">
        <v>42598</v>
      </c>
      <c r="F748" s="6">
        <v>42561</v>
      </c>
      <c r="G748" s="3" t="s">
        <v>644</v>
      </c>
      <c r="H748" s="3">
        <v>58.05</v>
      </c>
      <c r="I748" s="3" t="s">
        <v>379</v>
      </c>
      <c r="J748" s="3" t="str">
        <f t="shared" si="11"/>
        <v>Jul</v>
      </c>
      <c r="K748"/>
      <c r="L748"/>
      <c r="M748" s="6"/>
      <c r="N748" s="6"/>
      <c r="O748" s="6"/>
      <c r="P748" s="3"/>
      <c r="Q748" s="3"/>
      <c r="R748" s="3"/>
      <c r="S748" s="3"/>
    </row>
    <row r="749" spans="2:19" s="2" customFormat="1" hidden="1" x14ac:dyDescent="0.25">
      <c r="B749">
        <v>10292</v>
      </c>
      <c r="C749" t="s">
        <v>268</v>
      </c>
      <c r="D749" s="6">
        <v>42610</v>
      </c>
      <c r="E749" s="6">
        <v>42638</v>
      </c>
      <c r="F749" s="6">
        <v>42615</v>
      </c>
      <c r="G749" s="3" t="s">
        <v>645</v>
      </c>
      <c r="H749" s="3">
        <v>6.75</v>
      </c>
      <c r="I749" s="3" t="s">
        <v>379</v>
      </c>
      <c r="J749" s="3" t="str">
        <f t="shared" si="11"/>
        <v>Aug</v>
      </c>
      <c r="K749"/>
      <c r="L749"/>
      <c r="M749" s="6"/>
      <c r="N749" s="6"/>
      <c r="O749" s="6"/>
      <c r="P749" s="3"/>
      <c r="Q749" s="3"/>
      <c r="R749" s="3"/>
      <c r="S749" s="3"/>
    </row>
    <row r="750" spans="2:19" s="2" customFormat="1" hidden="1" x14ac:dyDescent="0.25">
      <c r="B750">
        <v>10496</v>
      </c>
      <c r="C750" t="s">
        <v>268</v>
      </c>
      <c r="D750" s="6">
        <v>42829</v>
      </c>
      <c r="E750" s="6">
        <v>42857</v>
      </c>
      <c r="F750" s="6">
        <v>42832</v>
      </c>
      <c r="G750" s="3" t="s">
        <v>645</v>
      </c>
      <c r="H750" s="3">
        <v>233.85000000000002</v>
      </c>
      <c r="I750" s="3" t="s">
        <v>379</v>
      </c>
      <c r="J750" s="3" t="str">
        <f t="shared" si="11"/>
        <v>Apr</v>
      </c>
      <c r="K750"/>
      <c r="L750"/>
      <c r="M750" s="6"/>
      <c r="N750" s="6"/>
      <c r="O750" s="6"/>
      <c r="P750" s="3"/>
      <c r="Q750" s="3"/>
      <c r="R750" s="3"/>
      <c r="S750" s="3"/>
    </row>
    <row r="751" spans="2:19" s="2" customFormat="1" hidden="1" x14ac:dyDescent="0.25">
      <c r="B751">
        <v>10606</v>
      </c>
      <c r="C751" t="s">
        <v>268</v>
      </c>
      <c r="D751" s="6">
        <v>42938</v>
      </c>
      <c r="E751" s="6">
        <v>42966</v>
      </c>
      <c r="F751" s="6">
        <v>42947</v>
      </c>
      <c r="G751" s="3" t="s">
        <v>646</v>
      </c>
      <c r="H751" s="3">
        <v>397</v>
      </c>
      <c r="I751" s="3" t="s">
        <v>379</v>
      </c>
      <c r="J751" s="3" t="str">
        <f t="shared" si="11"/>
        <v>Jul</v>
      </c>
      <c r="K751"/>
      <c r="L751"/>
      <c r="M751" s="6"/>
      <c r="N751" s="6"/>
      <c r="O751" s="6"/>
      <c r="P751" s="3"/>
      <c r="Q751" s="3"/>
      <c r="R751" s="3"/>
      <c r="S751" s="3"/>
    </row>
    <row r="752" spans="2:19" s="2" customFormat="1" hidden="1" x14ac:dyDescent="0.25">
      <c r="B752">
        <v>10830</v>
      </c>
      <c r="C752" t="s">
        <v>268</v>
      </c>
      <c r="D752" s="6">
        <v>43113</v>
      </c>
      <c r="E752" s="6">
        <v>43155</v>
      </c>
      <c r="F752" s="6">
        <v>43121</v>
      </c>
      <c r="G752" s="3" t="s">
        <v>645</v>
      </c>
      <c r="H752" s="3">
        <v>409.15</v>
      </c>
      <c r="I752" s="3" t="s">
        <v>379</v>
      </c>
      <c r="J752" s="3" t="str">
        <f t="shared" si="11"/>
        <v>Jan</v>
      </c>
      <c r="K752"/>
      <c r="L752"/>
      <c r="M752" s="6"/>
      <c r="N752" s="6"/>
      <c r="O752" s="6"/>
      <c r="P752" s="3"/>
      <c r="Q752" s="3"/>
      <c r="R752" s="3"/>
      <c r="S752" s="3"/>
    </row>
    <row r="753" spans="2:19" s="2" customFormat="1" hidden="1" x14ac:dyDescent="0.25">
      <c r="B753">
        <v>10834</v>
      </c>
      <c r="C753" t="s">
        <v>268</v>
      </c>
      <c r="D753" s="6">
        <v>43115</v>
      </c>
      <c r="E753" s="6">
        <v>43143</v>
      </c>
      <c r="F753" s="6">
        <v>43119</v>
      </c>
      <c r="G753" s="3" t="s">
        <v>646</v>
      </c>
      <c r="H753" s="3">
        <v>148.9</v>
      </c>
      <c r="I753" s="3" t="s">
        <v>379</v>
      </c>
      <c r="J753" s="3" t="str">
        <f t="shared" si="11"/>
        <v>Jan</v>
      </c>
      <c r="K753"/>
      <c r="L753"/>
      <c r="M753" s="6"/>
      <c r="N753" s="6"/>
      <c r="O753" s="6"/>
      <c r="P753" s="3"/>
      <c r="Q753" s="3"/>
      <c r="R753" s="3"/>
      <c r="S753" s="3"/>
    </row>
    <row r="754" spans="2:19" s="2" customFormat="1" hidden="1" x14ac:dyDescent="0.25">
      <c r="B754">
        <v>10839</v>
      </c>
      <c r="C754" t="s">
        <v>268</v>
      </c>
      <c r="D754" s="6">
        <v>43119</v>
      </c>
      <c r="E754" s="6">
        <v>43147</v>
      </c>
      <c r="F754" s="6">
        <v>43122</v>
      </c>
      <c r="G754" s="3" t="s">
        <v>646</v>
      </c>
      <c r="H754" s="3">
        <v>177.15</v>
      </c>
      <c r="I754" s="3" t="s">
        <v>379</v>
      </c>
      <c r="J754" s="3" t="str">
        <f t="shared" si="11"/>
        <v>Jan</v>
      </c>
      <c r="K754"/>
      <c r="L754"/>
      <c r="M754" s="6"/>
      <c r="N754" s="6"/>
      <c r="O754" s="6"/>
      <c r="P754" s="3"/>
      <c r="Q754" s="3"/>
      <c r="R754" s="3"/>
      <c r="S754" s="3"/>
    </row>
    <row r="755" spans="2:19" s="2" customFormat="1" hidden="1" x14ac:dyDescent="0.25">
      <c r="B755">
        <v>10574</v>
      </c>
      <c r="C755" t="s">
        <v>271</v>
      </c>
      <c r="D755" s="6">
        <v>42905</v>
      </c>
      <c r="E755" s="6">
        <v>42933</v>
      </c>
      <c r="F755" s="6">
        <v>42916</v>
      </c>
      <c r="G755" s="3" t="s">
        <v>645</v>
      </c>
      <c r="H755" s="3">
        <v>188</v>
      </c>
      <c r="I755" s="3" t="s">
        <v>380</v>
      </c>
      <c r="J755" s="3" t="str">
        <f t="shared" si="11"/>
        <v>Jun</v>
      </c>
      <c r="K755"/>
      <c r="L755"/>
      <c r="M755" s="6"/>
      <c r="N755" s="6"/>
      <c r="O755" s="6"/>
      <c r="P755" s="3"/>
      <c r="Q755" s="3"/>
      <c r="R755" s="3"/>
      <c r="S755" s="3"/>
    </row>
    <row r="756" spans="2:19" s="2" customFormat="1" hidden="1" x14ac:dyDescent="0.25">
      <c r="B756">
        <v>10577</v>
      </c>
      <c r="C756" t="s">
        <v>271</v>
      </c>
      <c r="D756" s="6">
        <v>42909</v>
      </c>
      <c r="E756" s="6">
        <v>42951</v>
      </c>
      <c r="F756" s="6">
        <v>42916</v>
      </c>
      <c r="G756" s="3" t="s">
        <v>645</v>
      </c>
      <c r="H756" s="3">
        <v>127.05</v>
      </c>
      <c r="I756" s="3" t="s">
        <v>380</v>
      </c>
      <c r="J756" s="3" t="str">
        <f t="shared" si="11"/>
        <v>Jun</v>
      </c>
      <c r="K756"/>
      <c r="L756"/>
      <c r="M756" s="6"/>
      <c r="N756" s="6"/>
      <c r="O756" s="6"/>
      <c r="P756" s="3"/>
      <c r="Q756" s="3"/>
      <c r="R756" s="3"/>
      <c r="S756" s="3"/>
    </row>
    <row r="757" spans="2:19" s="2" customFormat="1" hidden="1" x14ac:dyDescent="0.25">
      <c r="B757">
        <v>10822</v>
      </c>
      <c r="C757" t="s">
        <v>271</v>
      </c>
      <c r="D757" s="6">
        <v>43108</v>
      </c>
      <c r="E757" s="6">
        <v>43136</v>
      </c>
      <c r="F757" s="6">
        <v>43116</v>
      </c>
      <c r="G757" s="3" t="s">
        <v>646</v>
      </c>
      <c r="H757" s="3">
        <v>35</v>
      </c>
      <c r="I757" s="3" t="s">
        <v>380</v>
      </c>
      <c r="J757" s="3" t="str">
        <f t="shared" si="11"/>
        <v>Jan</v>
      </c>
      <c r="K757"/>
      <c r="L757"/>
      <c r="M757" s="6"/>
      <c r="N757" s="6"/>
      <c r="O757" s="6"/>
      <c r="P757" s="3"/>
      <c r="Q757" s="3"/>
      <c r="R757" s="3"/>
      <c r="S757" s="3"/>
    </row>
    <row r="758" spans="2:19" s="2" customFormat="1" hidden="1" x14ac:dyDescent="0.25">
      <c r="B758">
        <v>10367</v>
      </c>
      <c r="C758" t="s">
        <v>274</v>
      </c>
      <c r="D758" s="6">
        <v>42702</v>
      </c>
      <c r="E758" s="6">
        <v>42730</v>
      </c>
      <c r="F758" s="6">
        <v>42706</v>
      </c>
      <c r="G758" s="3" t="s">
        <v>646</v>
      </c>
      <c r="H758" s="3">
        <v>67.75</v>
      </c>
      <c r="I758" s="3" t="s">
        <v>381</v>
      </c>
      <c r="J758" s="3" t="str">
        <f t="shared" si="11"/>
        <v>Nov</v>
      </c>
      <c r="K758"/>
      <c r="L758"/>
      <c r="M758" s="6"/>
      <c r="N758" s="6"/>
      <c r="O758" s="6"/>
      <c r="P758" s="3"/>
      <c r="Q758" s="3"/>
      <c r="R758" s="3"/>
      <c r="S758" s="3"/>
    </row>
    <row r="759" spans="2:19" s="2" customFormat="1" hidden="1" x14ac:dyDescent="0.25">
      <c r="B759">
        <v>10399</v>
      </c>
      <c r="C759" t="s">
        <v>274</v>
      </c>
      <c r="D759" s="6">
        <v>42735</v>
      </c>
      <c r="E759" s="6">
        <v>42749</v>
      </c>
      <c r="F759" s="6">
        <v>42743</v>
      </c>
      <c r="G759" s="3" t="s">
        <v>646</v>
      </c>
      <c r="H759" s="3">
        <v>136.80000000000001</v>
      </c>
      <c r="I759" s="3" t="s">
        <v>381</v>
      </c>
      <c r="J759" s="3" t="str">
        <f t="shared" si="11"/>
        <v>Dec</v>
      </c>
      <c r="K759"/>
      <c r="L759"/>
      <c r="M759" s="6"/>
      <c r="N759" s="6"/>
      <c r="O759" s="6"/>
      <c r="P759" s="3"/>
      <c r="Q759" s="3"/>
      <c r="R759" s="3"/>
      <c r="S759" s="3"/>
    </row>
    <row r="760" spans="2:19" s="2" customFormat="1" hidden="1" x14ac:dyDescent="0.25">
      <c r="B760">
        <v>10465</v>
      </c>
      <c r="C760" t="s">
        <v>274</v>
      </c>
      <c r="D760" s="6">
        <v>42799</v>
      </c>
      <c r="E760" s="6">
        <v>42827</v>
      </c>
      <c r="F760" s="6">
        <v>42808</v>
      </c>
      <c r="G760" s="3" t="s">
        <v>646</v>
      </c>
      <c r="H760" s="3">
        <v>725.19999999999993</v>
      </c>
      <c r="I760" s="3" t="s">
        <v>381</v>
      </c>
      <c r="J760" s="3" t="str">
        <f t="shared" si="11"/>
        <v>Mar</v>
      </c>
      <c r="K760"/>
      <c r="L760"/>
      <c r="M760" s="6"/>
      <c r="N760" s="6"/>
      <c r="O760" s="6"/>
      <c r="P760" s="3"/>
      <c r="Q760" s="3"/>
      <c r="R760" s="3"/>
      <c r="S760" s="3"/>
    </row>
    <row r="761" spans="2:19" s="2" customFormat="1" hidden="1" x14ac:dyDescent="0.25">
      <c r="B761">
        <v>10591</v>
      </c>
      <c r="C761" t="s">
        <v>274</v>
      </c>
      <c r="D761" s="6">
        <v>42923</v>
      </c>
      <c r="E761" s="6">
        <v>42937</v>
      </c>
      <c r="F761" s="6">
        <v>42932</v>
      </c>
      <c r="G761" s="3" t="s">
        <v>644</v>
      </c>
      <c r="H761" s="3">
        <v>279.60000000000002</v>
      </c>
      <c r="I761" s="3" t="s">
        <v>381</v>
      </c>
      <c r="J761" s="3" t="str">
        <f t="shared" si="11"/>
        <v>Jul</v>
      </c>
      <c r="K761"/>
      <c r="L761"/>
      <c r="M761" s="6"/>
      <c r="N761" s="6"/>
      <c r="O761" s="6"/>
      <c r="P761" s="3"/>
      <c r="Q761" s="3"/>
      <c r="R761" s="3"/>
      <c r="S761" s="3"/>
    </row>
    <row r="762" spans="2:19" s="2" customFormat="1" hidden="1" x14ac:dyDescent="0.25">
      <c r="B762">
        <v>10602</v>
      </c>
      <c r="C762" t="s">
        <v>274</v>
      </c>
      <c r="D762" s="6">
        <v>42933</v>
      </c>
      <c r="E762" s="6">
        <v>42961</v>
      </c>
      <c r="F762" s="6">
        <v>42938</v>
      </c>
      <c r="G762" s="3" t="s">
        <v>645</v>
      </c>
      <c r="H762" s="3">
        <v>14.6</v>
      </c>
      <c r="I762" s="3" t="s">
        <v>381</v>
      </c>
      <c r="J762" s="3" t="str">
        <f t="shared" si="11"/>
        <v>Jul</v>
      </c>
      <c r="K762"/>
      <c r="L762"/>
      <c r="M762" s="6"/>
      <c r="N762" s="6"/>
      <c r="O762" s="6"/>
      <c r="P762" s="3"/>
      <c r="Q762" s="3"/>
      <c r="R762" s="3"/>
      <c r="S762" s="3"/>
    </row>
    <row r="763" spans="2:19" s="2" customFormat="1" hidden="1" x14ac:dyDescent="0.25">
      <c r="B763">
        <v>10688</v>
      </c>
      <c r="C763" t="s">
        <v>274</v>
      </c>
      <c r="D763" s="6">
        <v>43009</v>
      </c>
      <c r="E763" s="6">
        <v>43023</v>
      </c>
      <c r="F763" s="6">
        <v>43015</v>
      </c>
      <c r="G763" s="3" t="s">
        <v>645</v>
      </c>
      <c r="H763" s="3">
        <v>1495.4499999999998</v>
      </c>
      <c r="I763" s="3" t="s">
        <v>381</v>
      </c>
      <c r="J763" s="3" t="str">
        <f t="shared" si="11"/>
        <v>Oct</v>
      </c>
      <c r="K763"/>
      <c r="L763"/>
      <c r="M763" s="6"/>
      <c r="N763" s="6"/>
      <c r="O763" s="6"/>
      <c r="P763" s="3"/>
      <c r="Q763" s="3"/>
      <c r="R763" s="3"/>
      <c r="S763" s="3"/>
    </row>
    <row r="764" spans="2:19" s="2" customFormat="1" hidden="1" x14ac:dyDescent="0.25">
      <c r="B764">
        <v>10744</v>
      </c>
      <c r="C764" t="s">
        <v>274</v>
      </c>
      <c r="D764" s="6">
        <v>43056</v>
      </c>
      <c r="E764" s="6">
        <v>43084</v>
      </c>
      <c r="F764" s="6">
        <v>43063</v>
      </c>
      <c r="G764" s="3" t="s">
        <v>644</v>
      </c>
      <c r="H764" s="3">
        <v>345.95</v>
      </c>
      <c r="I764" s="3" t="s">
        <v>381</v>
      </c>
      <c r="J764" s="3" t="str">
        <f t="shared" si="11"/>
        <v>Nov</v>
      </c>
      <c r="K764"/>
      <c r="L764"/>
      <c r="M764" s="6"/>
      <c r="N764" s="6"/>
      <c r="O764" s="6"/>
      <c r="P764" s="3"/>
      <c r="Q764" s="3"/>
      <c r="R764" s="3"/>
      <c r="S764" s="3"/>
    </row>
    <row r="765" spans="2:19" s="2" customFormat="1" hidden="1" x14ac:dyDescent="0.25">
      <c r="B765">
        <v>10769</v>
      </c>
      <c r="C765" t="s">
        <v>274</v>
      </c>
      <c r="D765" s="6">
        <v>43077</v>
      </c>
      <c r="E765" s="6">
        <v>43105</v>
      </c>
      <c r="F765" s="6">
        <v>43081</v>
      </c>
      <c r="G765" s="3" t="s">
        <v>644</v>
      </c>
      <c r="H765" s="3">
        <v>325.3</v>
      </c>
      <c r="I765" s="3" t="s">
        <v>381</v>
      </c>
      <c r="J765" s="3" t="str">
        <f t="shared" si="11"/>
        <v>Dec</v>
      </c>
      <c r="K765"/>
      <c r="L765"/>
      <c r="M765" s="6"/>
      <c r="N765" s="6"/>
      <c r="O765" s="6"/>
      <c r="P765" s="3"/>
      <c r="Q765" s="3"/>
      <c r="R765" s="3"/>
      <c r="S765" s="3"/>
    </row>
    <row r="766" spans="2:19" s="2" customFormat="1" hidden="1" x14ac:dyDescent="0.25">
      <c r="B766">
        <v>10921</v>
      </c>
      <c r="C766" t="s">
        <v>274</v>
      </c>
      <c r="D766" s="6">
        <v>43162</v>
      </c>
      <c r="E766" s="6">
        <v>43204</v>
      </c>
      <c r="F766" s="6">
        <v>43168</v>
      </c>
      <c r="G766" s="3" t="s">
        <v>644</v>
      </c>
      <c r="H766" s="3">
        <v>882.4</v>
      </c>
      <c r="I766" s="3" t="s">
        <v>381</v>
      </c>
      <c r="J766" s="3" t="str">
        <f t="shared" si="11"/>
        <v>Mar</v>
      </c>
      <c r="K766"/>
      <c r="L766"/>
      <c r="M766" s="6"/>
      <c r="N766" s="6"/>
      <c r="O766" s="6"/>
      <c r="P766" s="3"/>
      <c r="Q766" s="3"/>
      <c r="R766" s="3"/>
      <c r="S766" s="3"/>
    </row>
    <row r="767" spans="2:19" s="2" customFormat="1" hidden="1" x14ac:dyDescent="0.25">
      <c r="B767">
        <v>10946</v>
      </c>
      <c r="C767" t="s">
        <v>274</v>
      </c>
      <c r="D767" s="6">
        <v>43171</v>
      </c>
      <c r="E767" s="6">
        <v>43199</v>
      </c>
      <c r="F767" s="6">
        <v>43178</v>
      </c>
      <c r="G767" s="3" t="s">
        <v>645</v>
      </c>
      <c r="H767" s="3">
        <v>136</v>
      </c>
      <c r="I767" s="3" t="s">
        <v>381</v>
      </c>
      <c r="J767" s="3" t="str">
        <f t="shared" si="11"/>
        <v>Mar</v>
      </c>
      <c r="K767"/>
      <c r="L767"/>
      <c r="M767" s="6"/>
      <c r="N767" s="6"/>
      <c r="O767" s="6"/>
      <c r="P767" s="3"/>
      <c r="Q767" s="3"/>
      <c r="R767" s="3"/>
      <c r="S767" s="3"/>
    </row>
    <row r="768" spans="2:19" s="2" customFormat="1" hidden="1" x14ac:dyDescent="0.25">
      <c r="B768">
        <v>10994</v>
      </c>
      <c r="C768" t="s">
        <v>274</v>
      </c>
      <c r="D768" s="6">
        <v>43192</v>
      </c>
      <c r="E768" s="6">
        <v>43206</v>
      </c>
      <c r="F768" s="6">
        <v>43199</v>
      </c>
      <c r="G768" s="3" t="s">
        <v>646</v>
      </c>
      <c r="H768" s="3">
        <v>327.64999999999998</v>
      </c>
      <c r="I768" s="3" t="s">
        <v>381</v>
      </c>
      <c r="J768" s="3" t="str">
        <f t="shared" si="11"/>
        <v>Apr</v>
      </c>
      <c r="K768"/>
      <c r="L768"/>
      <c r="M768" s="6"/>
      <c r="N768" s="6"/>
      <c r="O768" s="6"/>
      <c r="P768" s="3"/>
      <c r="Q768" s="3"/>
      <c r="R768" s="3"/>
      <c r="S768" s="3"/>
    </row>
    <row r="769" spans="2:19" s="2" customFormat="1" hidden="1" x14ac:dyDescent="0.25">
      <c r="B769">
        <v>10251</v>
      </c>
      <c r="C769" t="s">
        <v>277</v>
      </c>
      <c r="D769" s="6">
        <v>42559</v>
      </c>
      <c r="E769" s="6">
        <v>42587</v>
      </c>
      <c r="F769" s="6">
        <v>42566</v>
      </c>
      <c r="G769" s="3" t="s">
        <v>644</v>
      </c>
      <c r="H769" s="3">
        <v>206.70000000000002</v>
      </c>
      <c r="I769" s="3" t="s">
        <v>382</v>
      </c>
      <c r="J769" s="3" t="str">
        <f t="shared" si="11"/>
        <v>Jul</v>
      </c>
      <c r="K769"/>
      <c r="L769"/>
      <c r="M769" s="6"/>
      <c r="N769" s="6"/>
      <c r="O769" s="6"/>
      <c r="P769" s="3"/>
      <c r="Q769" s="3"/>
      <c r="R769" s="3"/>
      <c r="S769" s="3"/>
    </row>
    <row r="770" spans="2:19" s="2" customFormat="1" hidden="1" x14ac:dyDescent="0.25">
      <c r="B770">
        <v>10334</v>
      </c>
      <c r="C770" t="s">
        <v>277</v>
      </c>
      <c r="D770" s="6">
        <v>42664</v>
      </c>
      <c r="E770" s="6">
        <v>42692</v>
      </c>
      <c r="F770" s="6">
        <v>42671</v>
      </c>
      <c r="G770" s="3" t="s">
        <v>645</v>
      </c>
      <c r="H770" s="3">
        <v>42.800000000000004</v>
      </c>
      <c r="I770" s="3" t="s">
        <v>382</v>
      </c>
      <c r="J770" s="3" t="str">
        <f t="shared" si="11"/>
        <v>Oct</v>
      </c>
      <c r="K770"/>
      <c r="L770"/>
      <c r="M770" s="6"/>
      <c r="N770" s="6"/>
      <c r="O770" s="6"/>
      <c r="P770" s="3"/>
      <c r="Q770" s="3"/>
      <c r="R770" s="3"/>
      <c r="S770" s="3"/>
    </row>
    <row r="771" spans="2:19" s="2" customFormat="1" hidden="1" x14ac:dyDescent="0.25">
      <c r="B771">
        <v>10450</v>
      </c>
      <c r="C771" t="s">
        <v>277</v>
      </c>
      <c r="D771" s="6">
        <v>42785</v>
      </c>
      <c r="E771" s="6">
        <v>42813</v>
      </c>
      <c r="F771" s="6">
        <v>42805</v>
      </c>
      <c r="G771" s="3" t="s">
        <v>645</v>
      </c>
      <c r="H771" s="3">
        <v>36.150000000000006</v>
      </c>
      <c r="I771" s="3" t="s">
        <v>382</v>
      </c>
      <c r="J771" s="3" t="str">
        <f t="shared" si="11"/>
        <v>Feb</v>
      </c>
      <c r="K771"/>
      <c r="L771"/>
      <c r="M771" s="6"/>
      <c r="N771" s="6"/>
      <c r="O771" s="6"/>
      <c r="P771" s="3"/>
      <c r="Q771" s="3"/>
      <c r="R771" s="3"/>
      <c r="S771" s="3"/>
    </row>
    <row r="772" spans="2:19" s="2" customFormat="1" hidden="1" x14ac:dyDescent="0.25">
      <c r="B772">
        <v>10459</v>
      </c>
      <c r="C772" t="s">
        <v>277</v>
      </c>
      <c r="D772" s="6">
        <v>42793</v>
      </c>
      <c r="E772" s="6">
        <v>42821</v>
      </c>
      <c r="F772" s="6">
        <v>42794</v>
      </c>
      <c r="G772" s="3" t="s">
        <v>645</v>
      </c>
      <c r="H772" s="3">
        <v>125.45</v>
      </c>
      <c r="I772" s="3" t="s">
        <v>382</v>
      </c>
      <c r="J772" s="3" t="str">
        <f t="shared" si="11"/>
        <v>Feb</v>
      </c>
      <c r="K772"/>
      <c r="L772"/>
      <c r="M772" s="6"/>
      <c r="N772" s="6"/>
      <c r="O772" s="6"/>
      <c r="P772" s="3"/>
      <c r="Q772" s="3"/>
      <c r="R772" s="3"/>
      <c r="S772" s="3"/>
    </row>
    <row r="773" spans="2:19" s="2" customFormat="1" hidden="1" x14ac:dyDescent="0.25">
      <c r="B773">
        <v>10478</v>
      </c>
      <c r="C773" t="s">
        <v>277</v>
      </c>
      <c r="D773" s="6">
        <v>42812</v>
      </c>
      <c r="E773" s="6">
        <v>42826</v>
      </c>
      <c r="F773" s="6">
        <v>42820</v>
      </c>
      <c r="G773" s="3" t="s">
        <v>646</v>
      </c>
      <c r="H773" s="3">
        <v>24.049999999999997</v>
      </c>
      <c r="I773" s="3" t="s">
        <v>382</v>
      </c>
      <c r="J773" s="3" t="str">
        <f t="shared" si="11"/>
        <v>Mar</v>
      </c>
      <c r="K773"/>
      <c r="L773"/>
      <c r="M773" s="6"/>
      <c r="N773" s="6"/>
      <c r="O773" s="6"/>
      <c r="P773" s="3"/>
      <c r="Q773" s="3"/>
      <c r="R773" s="3"/>
      <c r="S773" s="3"/>
    </row>
    <row r="774" spans="2:19" s="2" customFormat="1" hidden="1" x14ac:dyDescent="0.25">
      <c r="B774">
        <v>10546</v>
      </c>
      <c r="C774" t="s">
        <v>277</v>
      </c>
      <c r="D774" s="6">
        <v>42878</v>
      </c>
      <c r="E774" s="6">
        <v>42906</v>
      </c>
      <c r="F774" s="6">
        <v>42882</v>
      </c>
      <c r="G774" s="3" t="s">
        <v>646</v>
      </c>
      <c r="H774" s="3">
        <v>973.6</v>
      </c>
      <c r="I774" s="3" t="s">
        <v>382</v>
      </c>
      <c r="J774" s="3" t="str">
        <f t="shared" si="11"/>
        <v>May</v>
      </c>
      <c r="K774"/>
      <c r="L774"/>
      <c r="M774" s="6"/>
      <c r="N774" s="6"/>
      <c r="O774" s="6"/>
      <c r="P774" s="3"/>
      <c r="Q774" s="3"/>
      <c r="R774" s="3"/>
      <c r="S774" s="3"/>
    </row>
    <row r="775" spans="2:19" s="2" customFormat="1" hidden="1" x14ac:dyDescent="0.25">
      <c r="B775">
        <v>10806</v>
      </c>
      <c r="C775" t="s">
        <v>277</v>
      </c>
      <c r="D775" s="6">
        <v>43100</v>
      </c>
      <c r="E775" s="6">
        <v>43128</v>
      </c>
      <c r="F775" s="6">
        <v>43105</v>
      </c>
      <c r="G775" s="3" t="s">
        <v>645</v>
      </c>
      <c r="H775" s="3">
        <v>110.55</v>
      </c>
      <c r="I775" s="3" t="s">
        <v>382</v>
      </c>
      <c r="J775" s="3" t="str">
        <f t="shared" si="11"/>
        <v>Dec</v>
      </c>
      <c r="K775"/>
      <c r="L775"/>
      <c r="M775" s="6"/>
      <c r="N775" s="6"/>
      <c r="O775" s="6"/>
      <c r="P775" s="3"/>
      <c r="Q775" s="3"/>
      <c r="R775" s="3"/>
      <c r="S775" s="3"/>
    </row>
    <row r="776" spans="2:19" s="2" customFormat="1" hidden="1" x14ac:dyDescent="0.25">
      <c r="B776">
        <v>10814</v>
      </c>
      <c r="C776" t="s">
        <v>277</v>
      </c>
      <c r="D776" s="6">
        <v>43105</v>
      </c>
      <c r="E776" s="6">
        <v>43133</v>
      </c>
      <c r="F776" s="6">
        <v>43114</v>
      </c>
      <c r="G776" s="3" t="s">
        <v>646</v>
      </c>
      <c r="H776" s="3">
        <v>654.70000000000005</v>
      </c>
      <c r="I776" s="3" t="s">
        <v>382</v>
      </c>
      <c r="J776" s="3" t="str">
        <f t="shared" si="11"/>
        <v>Jan</v>
      </c>
      <c r="K776"/>
      <c r="L776"/>
      <c r="M776" s="6"/>
      <c r="N776" s="6"/>
      <c r="O776" s="6"/>
      <c r="P776" s="3"/>
      <c r="Q776" s="3"/>
      <c r="R776" s="3"/>
      <c r="S776" s="3"/>
    </row>
    <row r="777" spans="2:19" s="2" customFormat="1" hidden="1" x14ac:dyDescent="0.25">
      <c r="B777">
        <v>10843</v>
      </c>
      <c r="C777" t="s">
        <v>277</v>
      </c>
      <c r="D777" s="6">
        <v>43121</v>
      </c>
      <c r="E777" s="6">
        <v>43149</v>
      </c>
      <c r="F777" s="6">
        <v>43126</v>
      </c>
      <c r="G777" s="3" t="s">
        <v>645</v>
      </c>
      <c r="H777" s="3">
        <v>46.3</v>
      </c>
      <c r="I777" s="3" t="s">
        <v>382</v>
      </c>
      <c r="J777" s="3" t="str">
        <f t="shared" si="11"/>
        <v>Jan</v>
      </c>
      <c r="K777"/>
      <c r="L777"/>
      <c r="M777" s="6"/>
      <c r="N777" s="6"/>
      <c r="O777" s="6"/>
      <c r="P777" s="3"/>
      <c r="Q777" s="3"/>
      <c r="R777" s="3"/>
      <c r="S777" s="3"/>
    </row>
    <row r="778" spans="2:19" s="2" customFormat="1" hidden="1" x14ac:dyDescent="0.25">
      <c r="B778">
        <v>10850</v>
      </c>
      <c r="C778" t="s">
        <v>277</v>
      </c>
      <c r="D778" s="6">
        <v>43123</v>
      </c>
      <c r="E778" s="6">
        <v>43165</v>
      </c>
      <c r="F778" s="6">
        <v>43130</v>
      </c>
      <c r="G778" s="3" t="s">
        <v>644</v>
      </c>
      <c r="H778" s="3">
        <v>245.95</v>
      </c>
      <c r="I778" s="3" t="s">
        <v>382</v>
      </c>
      <c r="J778" s="3" t="str">
        <f t="shared" si="11"/>
        <v>Jan</v>
      </c>
      <c r="K778"/>
      <c r="L778"/>
      <c r="M778" s="6"/>
      <c r="N778" s="6"/>
      <c r="O778" s="6"/>
      <c r="P778" s="3"/>
      <c r="Q778" s="3"/>
      <c r="R778" s="3"/>
      <c r="S778" s="3"/>
    </row>
    <row r="779" spans="2:19" s="2" customFormat="1" hidden="1" x14ac:dyDescent="0.25">
      <c r="B779">
        <v>10274</v>
      </c>
      <c r="C779" t="s">
        <v>280</v>
      </c>
      <c r="D779" s="6">
        <v>42588</v>
      </c>
      <c r="E779" s="6">
        <v>42616</v>
      </c>
      <c r="F779" s="6">
        <v>42598</v>
      </c>
      <c r="G779" s="3" t="s">
        <v>644</v>
      </c>
      <c r="H779" s="3">
        <v>30.049999999999997</v>
      </c>
      <c r="I779" s="3" t="s">
        <v>383</v>
      </c>
      <c r="J779" s="3" t="str">
        <f t="shared" si="11"/>
        <v>Aug</v>
      </c>
      <c r="K779"/>
      <c r="L779"/>
      <c r="M779" s="6"/>
      <c r="N779" s="6"/>
      <c r="O779" s="6"/>
      <c r="P779" s="3"/>
      <c r="Q779" s="3"/>
      <c r="R779" s="3"/>
      <c r="S779" s="3"/>
    </row>
    <row r="780" spans="2:19" s="2" customFormat="1" hidden="1" x14ac:dyDescent="0.25">
      <c r="B780">
        <v>10295</v>
      </c>
      <c r="C780" t="s">
        <v>280</v>
      </c>
      <c r="D780" s="6">
        <v>42615</v>
      </c>
      <c r="E780" s="6">
        <v>42643</v>
      </c>
      <c r="F780" s="6">
        <v>42623</v>
      </c>
      <c r="G780" s="3" t="s">
        <v>645</v>
      </c>
      <c r="H780" s="3">
        <v>5.75</v>
      </c>
      <c r="I780" s="3" t="s">
        <v>383</v>
      </c>
      <c r="J780" s="3" t="str">
        <f t="shared" si="11"/>
        <v>Sep</v>
      </c>
      <c r="K780"/>
      <c r="L780"/>
      <c r="M780" s="6"/>
      <c r="N780" s="6"/>
      <c r="O780" s="6"/>
      <c r="P780" s="3"/>
      <c r="Q780" s="3"/>
      <c r="R780" s="3"/>
      <c r="S780" s="3"/>
    </row>
    <row r="781" spans="2:19" s="2" customFormat="1" hidden="1" x14ac:dyDescent="0.25">
      <c r="B781">
        <v>10737</v>
      </c>
      <c r="C781" t="s">
        <v>280</v>
      </c>
      <c r="D781" s="6">
        <v>43050</v>
      </c>
      <c r="E781" s="6">
        <v>43078</v>
      </c>
      <c r="F781" s="6">
        <v>43057</v>
      </c>
      <c r="G781" s="3" t="s">
        <v>645</v>
      </c>
      <c r="H781" s="3">
        <v>38.950000000000003</v>
      </c>
      <c r="I781" s="3" t="s">
        <v>383</v>
      </c>
      <c r="J781" s="3" t="str">
        <f t="shared" si="11"/>
        <v>Nov</v>
      </c>
      <c r="K781"/>
      <c r="L781"/>
      <c r="M781" s="6"/>
      <c r="N781" s="6"/>
      <c r="O781" s="6"/>
      <c r="P781" s="3"/>
      <c r="Q781" s="3"/>
      <c r="R781" s="3"/>
      <c r="S781" s="3"/>
    </row>
    <row r="782" spans="2:19" s="2" customFormat="1" hidden="1" x14ac:dyDescent="0.25">
      <c r="B782">
        <v>10739</v>
      </c>
      <c r="C782" t="s">
        <v>280</v>
      </c>
      <c r="D782" s="6">
        <v>43051</v>
      </c>
      <c r="E782" s="6">
        <v>43079</v>
      </c>
      <c r="F782" s="6">
        <v>43056</v>
      </c>
      <c r="G782" s="3" t="s">
        <v>646</v>
      </c>
      <c r="H782" s="3">
        <v>55.4</v>
      </c>
      <c r="I782" s="3" t="s">
        <v>383</v>
      </c>
      <c r="J782" s="3" t="str">
        <f t="shared" si="11"/>
        <v>Nov</v>
      </c>
      <c r="K782"/>
      <c r="L782"/>
      <c r="M782" s="6"/>
      <c r="N782" s="6"/>
      <c r="O782" s="6"/>
      <c r="P782" s="3"/>
      <c r="Q782" s="3"/>
      <c r="R782" s="3"/>
      <c r="S782" s="3"/>
    </row>
    <row r="783" spans="2:19" s="2" customFormat="1" hidden="1" x14ac:dyDescent="0.25">
      <c r="B783">
        <v>10301</v>
      </c>
      <c r="C783" t="s">
        <v>283</v>
      </c>
      <c r="D783" s="6">
        <v>42622</v>
      </c>
      <c r="E783" s="6">
        <v>42650</v>
      </c>
      <c r="F783" s="6">
        <v>42630</v>
      </c>
      <c r="G783" s="3" t="s">
        <v>645</v>
      </c>
      <c r="H783" s="3">
        <v>225.39999999999998</v>
      </c>
      <c r="I783" s="3" t="s">
        <v>384</v>
      </c>
      <c r="J783" s="3" t="str">
        <f t="shared" si="11"/>
        <v>Sep</v>
      </c>
      <c r="K783"/>
      <c r="L783"/>
      <c r="M783" s="6"/>
      <c r="N783" s="6"/>
      <c r="O783" s="6"/>
      <c r="P783" s="3"/>
      <c r="Q783" s="3"/>
      <c r="R783" s="3"/>
      <c r="S783" s="3"/>
    </row>
    <row r="784" spans="2:19" s="2" customFormat="1" hidden="1" x14ac:dyDescent="0.25">
      <c r="B784">
        <v>10312</v>
      </c>
      <c r="C784" t="s">
        <v>283</v>
      </c>
      <c r="D784" s="6">
        <v>42636</v>
      </c>
      <c r="E784" s="6">
        <v>42664</v>
      </c>
      <c r="F784" s="6">
        <v>42646</v>
      </c>
      <c r="G784" s="3" t="s">
        <v>645</v>
      </c>
      <c r="H784" s="3">
        <v>201.29999999999998</v>
      </c>
      <c r="I784" s="3" t="s">
        <v>384</v>
      </c>
      <c r="J784" s="3" t="str">
        <f t="shared" si="11"/>
        <v>Sep</v>
      </c>
      <c r="K784"/>
      <c r="L784"/>
      <c r="M784" s="6"/>
      <c r="N784" s="6"/>
      <c r="O784" s="6"/>
      <c r="P784" s="3"/>
      <c r="Q784" s="3"/>
      <c r="R784" s="3"/>
      <c r="S784" s="3"/>
    </row>
    <row r="785" spans="2:19" s="2" customFormat="1" hidden="1" x14ac:dyDescent="0.25">
      <c r="B785">
        <v>10348</v>
      </c>
      <c r="C785" t="s">
        <v>283</v>
      </c>
      <c r="D785" s="6">
        <v>42681</v>
      </c>
      <c r="E785" s="6">
        <v>42709</v>
      </c>
      <c r="F785" s="6">
        <v>42689</v>
      </c>
      <c r="G785" s="3" t="s">
        <v>645</v>
      </c>
      <c r="H785" s="3">
        <v>3.9000000000000004</v>
      </c>
      <c r="I785" s="3" t="s">
        <v>384</v>
      </c>
      <c r="J785" s="3" t="str">
        <f t="shared" ref="J785:J845" si="12">TEXT(D785,"mmm")</f>
        <v>Nov</v>
      </c>
      <c r="K785"/>
      <c r="L785"/>
      <c r="M785" s="6"/>
      <c r="N785" s="6"/>
      <c r="O785" s="6"/>
      <c r="P785" s="3"/>
      <c r="Q785" s="3"/>
      <c r="R785" s="3"/>
      <c r="S785" s="3"/>
    </row>
    <row r="786" spans="2:19" s="2" customFormat="1" hidden="1" x14ac:dyDescent="0.25">
      <c r="B786">
        <v>10356</v>
      </c>
      <c r="C786" t="s">
        <v>283</v>
      </c>
      <c r="D786" s="6">
        <v>42692</v>
      </c>
      <c r="E786" s="6">
        <v>42720</v>
      </c>
      <c r="F786" s="6">
        <v>42701</v>
      </c>
      <c r="G786" s="3" t="s">
        <v>645</v>
      </c>
      <c r="H786" s="3">
        <v>183.55</v>
      </c>
      <c r="I786" s="3" t="s">
        <v>384</v>
      </c>
      <c r="J786" s="3" t="str">
        <f t="shared" si="12"/>
        <v>Nov</v>
      </c>
      <c r="K786"/>
      <c r="L786"/>
      <c r="M786" s="6"/>
      <c r="N786" s="6"/>
      <c r="O786" s="6"/>
      <c r="P786" s="3"/>
      <c r="Q786" s="3"/>
      <c r="R786" s="3"/>
      <c r="S786" s="3"/>
    </row>
    <row r="787" spans="2:19" s="2" customFormat="1" hidden="1" x14ac:dyDescent="0.25">
      <c r="B787">
        <v>10513</v>
      </c>
      <c r="C787" t="s">
        <v>283</v>
      </c>
      <c r="D787" s="6">
        <v>42847</v>
      </c>
      <c r="E787" s="6">
        <v>42889</v>
      </c>
      <c r="F787" s="6">
        <v>42853</v>
      </c>
      <c r="G787" s="3" t="s">
        <v>644</v>
      </c>
      <c r="H787" s="3">
        <v>528.25</v>
      </c>
      <c r="I787" s="3" t="s">
        <v>384</v>
      </c>
      <c r="J787" s="3" t="str">
        <f t="shared" si="12"/>
        <v>Apr</v>
      </c>
      <c r="K787"/>
      <c r="L787"/>
      <c r="M787" s="6"/>
      <c r="N787" s="6"/>
      <c r="O787" s="6"/>
      <c r="P787" s="3"/>
      <c r="Q787" s="3"/>
      <c r="R787" s="3"/>
      <c r="S787" s="3"/>
    </row>
    <row r="788" spans="2:19" s="2" customFormat="1" hidden="1" x14ac:dyDescent="0.25">
      <c r="B788">
        <v>10632</v>
      </c>
      <c r="C788" t="s">
        <v>283</v>
      </c>
      <c r="D788" s="6">
        <v>42961</v>
      </c>
      <c r="E788" s="6">
        <v>42989</v>
      </c>
      <c r="F788" s="6">
        <v>42966</v>
      </c>
      <c r="G788" s="3" t="s">
        <v>644</v>
      </c>
      <c r="H788" s="3">
        <v>206.9</v>
      </c>
      <c r="I788" s="3" t="s">
        <v>384</v>
      </c>
      <c r="J788" s="3" t="str">
        <f t="shared" si="12"/>
        <v>Aug</v>
      </c>
      <c r="K788"/>
      <c r="L788"/>
      <c r="M788" s="6"/>
      <c r="N788" s="6"/>
      <c r="O788" s="6"/>
      <c r="P788" s="3"/>
      <c r="Q788" s="3"/>
      <c r="R788" s="3"/>
      <c r="S788" s="3"/>
    </row>
    <row r="789" spans="2:19" s="2" customFormat="1" hidden="1" x14ac:dyDescent="0.25">
      <c r="B789">
        <v>10640</v>
      </c>
      <c r="C789" t="s">
        <v>283</v>
      </c>
      <c r="D789" s="6">
        <v>42968</v>
      </c>
      <c r="E789" s="6">
        <v>42996</v>
      </c>
      <c r="F789" s="6">
        <v>42975</v>
      </c>
      <c r="G789" s="3" t="s">
        <v>644</v>
      </c>
      <c r="H789" s="3">
        <v>117.75</v>
      </c>
      <c r="I789" s="3" t="s">
        <v>384</v>
      </c>
      <c r="J789" s="3" t="str">
        <f t="shared" si="12"/>
        <v>Aug</v>
      </c>
      <c r="K789"/>
      <c r="L789"/>
      <c r="M789" s="6"/>
      <c r="N789" s="6"/>
      <c r="O789" s="6"/>
      <c r="P789" s="3"/>
      <c r="Q789" s="3"/>
      <c r="R789" s="3"/>
      <c r="S789" s="3"/>
    </row>
    <row r="790" spans="2:19" s="2" customFormat="1" hidden="1" x14ac:dyDescent="0.25">
      <c r="B790">
        <v>10651</v>
      </c>
      <c r="C790" t="s">
        <v>283</v>
      </c>
      <c r="D790" s="6">
        <v>42979</v>
      </c>
      <c r="E790" s="6">
        <v>43007</v>
      </c>
      <c r="F790" s="6">
        <v>42989</v>
      </c>
      <c r="G790" s="3" t="s">
        <v>645</v>
      </c>
      <c r="H790" s="3">
        <v>103</v>
      </c>
      <c r="I790" s="3" t="s">
        <v>384</v>
      </c>
      <c r="J790" s="3" t="str">
        <f t="shared" si="12"/>
        <v>Sep</v>
      </c>
      <c r="K790"/>
      <c r="L790"/>
      <c r="M790" s="6"/>
      <c r="N790" s="6"/>
      <c r="O790" s="6"/>
      <c r="P790" s="3"/>
      <c r="Q790" s="3"/>
      <c r="R790" s="3"/>
      <c r="S790" s="3"/>
    </row>
    <row r="791" spans="2:19" s="2" customFormat="1" hidden="1" x14ac:dyDescent="0.25">
      <c r="B791">
        <v>10668</v>
      </c>
      <c r="C791" t="s">
        <v>283</v>
      </c>
      <c r="D791" s="6">
        <v>42993</v>
      </c>
      <c r="E791" s="6">
        <v>43021</v>
      </c>
      <c r="F791" s="6">
        <v>43001</v>
      </c>
      <c r="G791" s="3" t="s">
        <v>645</v>
      </c>
      <c r="H791" s="3">
        <v>236.1</v>
      </c>
      <c r="I791" s="3" t="s">
        <v>384</v>
      </c>
      <c r="J791" s="3" t="str">
        <f t="shared" si="12"/>
        <v>Sep</v>
      </c>
      <c r="K791"/>
      <c r="L791"/>
      <c r="M791" s="6"/>
      <c r="N791" s="6"/>
      <c r="O791" s="6"/>
      <c r="P791" s="3"/>
      <c r="Q791" s="3"/>
      <c r="R791" s="3"/>
      <c r="S791" s="3"/>
    </row>
    <row r="792" spans="2:19" s="2" customFormat="1" hidden="1" x14ac:dyDescent="0.25">
      <c r="B792">
        <v>11046</v>
      </c>
      <c r="C792" t="s">
        <v>283</v>
      </c>
      <c r="D792" s="6">
        <v>43213</v>
      </c>
      <c r="E792" s="6">
        <v>43241</v>
      </c>
      <c r="F792" s="6">
        <v>43214</v>
      </c>
      <c r="G792" s="3" t="s">
        <v>645</v>
      </c>
      <c r="H792" s="3">
        <v>358.2</v>
      </c>
      <c r="I792" s="3" t="s">
        <v>384</v>
      </c>
      <c r="J792" s="3" t="str">
        <f t="shared" si="12"/>
        <v>Apr</v>
      </c>
      <c r="K792"/>
      <c r="L792"/>
      <c r="M792" s="6"/>
      <c r="N792" s="6"/>
      <c r="O792" s="6"/>
      <c r="P792" s="3"/>
      <c r="Q792" s="3"/>
      <c r="R792" s="3"/>
      <c r="S792" s="3"/>
    </row>
    <row r="793" spans="2:19" s="2" customFormat="1" hidden="1" x14ac:dyDescent="0.25">
      <c r="B793">
        <v>10266</v>
      </c>
      <c r="C793" t="s">
        <v>286</v>
      </c>
      <c r="D793" s="6">
        <v>42577</v>
      </c>
      <c r="E793" s="6">
        <v>42619</v>
      </c>
      <c r="F793" s="6">
        <v>42582</v>
      </c>
      <c r="G793" s="3" t="s">
        <v>646</v>
      </c>
      <c r="H793" s="3">
        <v>128.65</v>
      </c>
      <c r="I793" s="3" t="s">
        <v>385</v>
      </c>
      <c r="J793" s="3" t="str">
        <f t="shared" si="12"/>
        <v>Jul</v>
      </c>
      <c r="K793"/>
      <c r="L793"/>
      <c r="M793" s="6"/>
      <c r="N793" s="6"/>
      <c r="O793" s="6"/>
      <c r="P793" s="3"/>
      <c r="Q793" s="3"/>
      <c r="R793" s="3"/>
      <c r="S793" s="3"/>
    </row>
    <row r="794" spans="2:19" s="2" customFormat="1" hidden="1" x14ac:dyDescent="0.25">
      <c r="B794">
        <v>10270</v>
      </c>
      <c r="C794" t="s">
        <v>286</v>
      </c>
      <c r="D794" s="6">
        <v>42583</v>
      </c>
      <c r="E794" s="6">
        <v>42611</v>
      </c>
      <c r="F794" s="6">
        <v>42584</v>
      </c>
      <c r="G794" s="3" t="s">
        <v>644</v>
      </c>
      <c r="H794" s="3">
        <v>682.69999999999993</v>
      </c>
      <c r="I794" s="3" t="s">
        <v>385</v>
      </c>
      <c r="J794" s="3" t="str">
        <f t="shared" si="12"/>
        <v>Aug</v>
      </c>
      <c r="K794"/>
      <c r="L794"/>
      <c r="M794" s="6"/>
      <c r="N794" s="6"/>
      <c r="O794" s="6"/>
      <c r="P794" s="3"/>
      <c r="Q794" s="3"/>
      <c r="R794" s="3"/>
      <c r="S794" s="3"/>
    </row>
    <row r="795" spans="2:19" s="2" customFormat="1" hidden="1" x14ac:dyDescent="0.25">
      <c r="B795">
        <v>10320</v>
      </c>
      <c r="C795" t="s">
        <v>286</v>
      </c>
      <c r="D795" s="6">
        <v>42646</v>
      </c>
      <c r="E795" s="6">
        <v>42660</v>
      </c>
      <c r="F795" s="6">
        <v>42661</v>
      </c>
      <c r="G795" s="3" t="s">
        <v>646</v>
      </c>
      <c r="H795" s="3">
        <v>172.85</v>
      </c>
      <c r="I795" s="3" t="s">
        <v>385</v>
      </c>
      <c r="J795" s="3" t="str">
        <f t="shared" si="12"/>
        <v>Oct</v>
      </c>
      <c r="K795"/>
      <c r="L795"/>
      <c r="M795" s="6"/>
      <c r="N795" s="6"/>
      <c r="O795" s="6"/>
      <c r="P795" s="3"/>
      <c r="Q795" s="3"/>
      <c r="R795" s="3"/>
      <c r="S795" s="3"/>
    </row>
    <row r="796" spans="2:19" s="2" customFormat="1" hidden="1" x14ac:dyDescent="0.25">
      <c r="B796">
        <v>10333</v>
      </c>
      <c r="C796" t="s">
        <v>286</v>
      </c>
      <c r="D796" s="6">
        <v>42661</v>
      </c>
      <c r="E796" s="6">
        <v>42689</v>
      </c>
      <c r="F796" s="6">
        <v>42668</v>
      </c>
      <c r="G796" s="3" t="s">
        <v>646</v>
      </c>
      <c r="H796" s="3">
        <v>2.9499999999999997</v>
      </c>
      <c r="I796" s="3" t="s">
        <v>385</v>
      </c>
      <c r="J796" s="3" t="str">
        <f t="shared" si="12"/>
        <v>Oct</v>
      </c>
      <c r="K796"/>
      <c r="L796"/>
      <c r="M796" s="6"/>
      <c r="N796" s="6"/>
      <c r="O796" s="6"/>
      <c r="P796" s="3"/>
      <c r="Q796" s="3"/>
      <c r="R796" s="3"/>
      <c r="S796" s="3"/>
    </row>
    <row r="797" spans="2:19" s="2" customFormat="1" hidden="1" x14ac:dyDescent="0.25">
      <c r="B797">
        <v>10412</v>
      </c>
      <c r="C797" t="s">
        <v>286</v>
      </c>
      <c r="D797" s="6">
        <v>42748</v>
      </c>
      <c r="E797" s="6">
        <v>42776</v>
      </c>
      <c r="F797" s="6">
        <v>42750</v>
      </c>
      <c r="G797" s="3" t="s">
        <v>645</v>
      </c>
      <c r="H797" s="3">
        <v>18.850000000000001</v>
      </c>
      <c r="I797" s="3" t="s">
        <v>385</v>
      </c>
      <c r="J797" s="3" t="str">
        <f t="shared" si="12"/>
        <v>Jan</v>
      </c>
      <c r="K797"/>
      <c r="L797"/>
      <c r="M797" s="6"/>
      <c r="N797" s="6"/>
      <c r="O797" s="6"/>
      <c r="P797" s="3"/>
      <c r="Q797" s="3"/>
      <c r="R797" s="3"/>
      <c r="S797" s="3"/>
    </row>
    <row r="798" spans="2:19" s="2" customFormat="1" hidden="1" x14ac:dyDescent="0.25">
      <c r="B798">
        <v>10416</v>
      </c>
      <c r="C798" t="s">
        <v>286</v>
      </c>
      <c r="D798" s="6">
        <v>42751</v>
      </c>
      <c r="E798" s="6">
        <v>42779</v>
      </c>
      <c r="F798" s="6">
        <v>42762</v>
      </c>
      <c r="G798" s="3" t="s">
        <v>646</v>
      </c>
      <c r="H798" s="3">
        <v>113.6</v>
      </c>
      <c r="I798" s="3" t="s">
        <v>385</v>
      </c>
      <c r="J798" s="3" t="str">
        <f t="shared" si="12"/>
        <v>Jan</v>
      </c>
      <c r="K798"/>
      <c r="L798"/>
      <c r="M798" s="6"/>
      <c r="N798" s="6"/>
      <c r="O798" s="6"/>
      <c r="P798" s="3"/>
      <c r="Q798" s="3"/>
      <c r="R798" s="3"/>
      <c r="S798" s="3"/>
    </row>
    <row r="799" spans="2:19" s="2" customFormat="1" hidden="1" x14ac:dyDescent="0.25">
      <c r="B799">
        <v>10437</v>
      </c>
      <c r="C799" t="s">
        <v>286</v>
      </c>
      <c r="D799" s="6">
        <v>42771</v>
      </c>
      <c r="E799" s="6">
        <v>42799</v>
      </c>
      <c r="F799" s="6">
        <v>42778</v>
      </c>
      <c r="G799" s="3" t="s">
        <v>644</v>
      </c>
      <c r="H799" s="3">
        <v>99.85</v>
      </c>
      <c r="I799" s="3" t="s">
        <v>385</v>
      </c>
      <c r="J799" s="3" t="str">
        <f t="shared" si="12"/>
        <v>Feb</v>
      </c>
      <c r="K799"/>
      <c r="L799"/>
      <c r="M799" s="6"/>
      <c r="N799" s="6"/>
      <c r="O799" s="6"/>
      <c r="P799" s="3"/>
      <c r="Q799" s="3"/>
      <c r="R799" s="3"/>
      <c r="S799" s="3"/>
    </row>
    <row r="800" spans="2:19" s="2" customFormat="1" hidden="1" x14ac:dyDescent="0.25">
      <c r="B800">
        <v>10455</v>
      </c>
      <c r="C800" t="s">
        <v>286</v>
      </c>
      <c r="D800" s="6">
        <v>42790</v>
      </c>
      <c r="E800" s="6">
        <v>42832</v>
      </c>
      <c r="F800" s="6">
        <v>42797</v>
      </c>
      <c r="G800" s="3" t="s">
        <v>645</v>
      </c>
      <c r="H800" s="3">
        <v>902.25</v>
      </c>
      <c r="I800" s="3" t="s">
        <v>385</v>
      </c>
      <c r="J800" s="3" t="str">
        <f t="shared" si="12"/>
        <v>Feb</v>
      </c>
      <c r="K800"/>
      <c r="L800"/>
      <c r="M800" s="6"/>
      <c r="N800" s="6"/>
      <c r="O800" s="6"/>
      <c r="P800" s="3"/>
      <c r="Q800" s="3"/>
      <c r="R800" s="3"/>
      <c r="S800" s="3"/>
    </row>
    <row r="801" spans="2:19" s="2" customFormat="1" hidden="1" x14ac:dyDescent="0.25">
      <c r="B801">
        <v>10526</v>
      </c>
      <c r="C801" t="s">
        <v>286</v>
      </c>
      <c r="D801" s="6">
        <v>42860</v>
      </c>
      <c r="E801" s="6">
        <v>42888</v>
      </c>
      <c r="F801" s="6">
        <v>42870</v>
      </c>
      <c r="G801" s="3" t="s">
        <v>645</v>
      </c>
      <c r="H801" s="3">
        <v>292.95000000000005</v>
      </c>
      <c r="I801" s="3" t="s">
        <v>385</v>
      </c>
      <c r="J801" s="3" t="str">
        <f t="shared" si="12"/>
        <v>May</v>
      </c>
      <c r="K801"/>
      <c r="L801"/>
      <c r="M801" s="6"/>
      <c r="N801" s="6"/>
      <c r="O801" s="6"/>
      <c r="P801" s="3"/>
      <c r="Q801" s="3"/>
      <c r="R801" s="3"/>
      <c r="S801" s="3"/>
    </row>
    <row r="802" spans="2:19" s="2" customFormat="1" hidden="1" x14ac:dyDescent="0.25">
      <c r="B802">
        <v>10553</v>
      </c>
      <c r="C802" t="s">
        <v>286</v>
      </c>
      <c r="D802" s="6">
        <v>42885</v>
      </c>
      <c r="E802" s="6">
        <v>42913</v>
      </c>
      <c r="F802" s="6">
        <v>42889</v>
      </c>
      <c r="G802" s="3" t="s">
        <v>645</v>
      </c>
      <c r="H802" s="3">
        <v>747.45</v>
      </c>
      <c r="I802" s="3" t="s">
        <v>385</v>
      </c>
      <c r="J802" s="3" t="str">
        <f t="shared" si="12"/>
        <v>May</v>
      </c>
      <c r="K802"/>
      <c r="L802"/>
      <c r="M802" s="6"/>
      <c r="N802" s="6"/>
      <c r="O802" s="6"/>
      <c r="P802" s="3"/>
      <c r="Q802" s="3"/>
      <c r="R802" s="3"/>
      <c r="S802" s="3"/>
    </row>
    <row r="803" spans="2:19" s="2" customFormat="1" hidden="1" x14ac:dyDescent="0.25">
      <c r="B803">
        <v>10583</v>
      </c>
      <c r="C803" t="s">
        <v>286</v>
      </c>
      <c r="D803" s="6">
        <v>42916</v>
      </c>
      <c r="E803" s="6">
        <v>42944</v>
      </c>
      <c r="F803" s="6">
        <v>42920</v>
      </c>
      <c r="G803" s="3" t="s">
        <v>645</v>
      </c>
      <c r="H803" s="3">
        <v>36.4</v>
      </c>
      <c r="I803" s="3" t="s">
        <v>385</v>
      </c>
      <c r="J803" s="3" t="str">
        <f t="shared" si="12"/>
        <v>Jun</v>
      </c>
      <c r="K803"/>
      <c r="L803"/>
      <c r="M803" s="6"/>
      <c r="N803" s="6"/>
      <c r="O803" s="6"/>
      <c r="P803" s="3"/>
      <c r="Q803" s="3"/>
      <c r="R803" s="3"/>
      <c r="S803" s="3"/>
    </row>
    <row r="804" spans="2:19" s="2" customFormat="1" hidden="1" x14ac:dyDescent="0.25">
      <c r="B804">
        <v>10636</v>
      </c>
      <c r="C804" t="s">
        <v>286</v>
      </c>
      <c r="D804" s="6">
        <v>42966</v>
      </c>
      <c r="E804" s="6">
        <v>42994</v>
      </c>
      <c r="F804" s="6">
        <v>42973</v>
      </c>
      <c r="G804" s="3" t="s">
        <v>644</v>
      </c>
      <c r="H804" s="3">
        <v>5.75</v>
      </c>
      <c r="I804" s="3" t="s">
        <v>385</v>
      </c>
      <c r="J804" s="3" t="str">
        <f t="shared" si="12"/>
        <v>Aug</v>
      </c>
      <c r="K804"/>
      <c r="L804"/>
      <c r="M804" s="6"/>
      <c r="N804" s="6"/>
      <c r="O804" s="6"/>
      <c r="P804" s="3"/>
      <c r="Q804" s="3"/>
      <c r="R804" s="3"/>
      <c r="S804" s="3"/>
    </row>
    <row r="805" spans="2:19" s="2" customFormat="1" hidden="1" x14ac:dyDescent="0.25">
      <c r="B805">
        <v>10750</v>
      </c>
      <c r="C805" t="s">
        <v>286</v>
      </c>
      <c r="D805" s="6">
        <v>43060</v>
      </c>
      <c r="E805" s="6">
        <v>43088</v>
      </c>
      <c r="F805" s="6">
        <v>43063</v>
      </c>
      <c r="G805" s="3" t="s">
        <v>644</v>
      </c>
      <c r="H805" s="3">
        <v>396.5</v>
      </c>
      <c r="I805" s="3" t="s">
        <v>385</v>
      </c>
      <c r="J805" s="3" t="str">
        <f t="shared" si="12"/>
        <v>Nov</v>
      </c>
      <c r="K805"/>
      <c r="L805"/>
      <c r="M805" s="6"/>
      <c r="N805" s="6"/>
      <c r="O805" s="6"/>
      <c r="P805" s="3"/>
      <c r="Q805" s="3"/>
      <c r="R805" s="3"/>
      <c r="S805" s="3"/>
    </row>
    <row r="806" spans="2:19" s="2" customFormat="1" hidden="1" x14ac:dyDescent="0.25">
      <c r="B806">
        <v>10781</v>
      </c>
      <c r="C806" t="s">
        <v>286</v>
      </c>
      <c r="D806" s="6">
        <v>43086</v>
      </c>
      <c r="E806" s="6">
        <v>43114</v>
      </c>
      <c r="F806" s="6">
        <v>43088</v>
      </c>
      <c r="G806" s="3" t="s">
        <v>646</v>
      </c>
      <c r="H806" s="3">
        <v>365.79999999999995</v>
      </c>
      <c r="I806" s="3" t="s">
        <v>385</v>
      </c>
      <c r="J806" s="3" t="str">
        <f t="shared" si="12"/>
        <v>Dec</v>
      </c>
      <c r="K806"/>
      <c r="L806"/>
      <c r="M806" s="6"/>
      <c r="N806" s="6"/>
      <c r="O806" s="6"/>
      <c r="P806" s="3"/>
      <c r="Q806" s="3"/>
      <c r="R806" s="3"/>
      <c r="S806" s="3"/>
    </row>
    <row r="807" spans="2:19" s="2" customFormat="1" hidden="1" x14ac:dyDescent="0.25">
      <c r="B807">
        <v>11025</v>
      </c>
      <c r="C807" t="s">
        <v>286</v>
      </c>
      <c r="D807" s="6">
        <v>43205</v>
      </c>
      <c r="E807" s="6">
        <v>43233</v>
      </c>
      <c r="F807" s="6">
        <v>43214</v>
      </c>
      <c r="G807" s="3" t="s">
        <v>646</v>
      </c>
      <c r="H807" s="3">
        <v>145.85000000000002</v>
      </c>
      <c r="I807" s="3" t="s">
        <v>385</v>
      </c>
      <c r="J807" s="3" t="str">
        <f t="shared" si="12"/>
        <v>Apr</v>
      </c>
      <c r="K807"/>
      <c r="L807"/>
      <c r="M807" s="6"/>
      <c r="N807" s="6"/>
      <c r="O807" s="6"/>
      <c r="P807" s="3"/>
      <c r="Q807" s="3"/>
      <c r="R807" s="3"/>
      <c r="S807" s="3"/>
    </row>
    <row r="808" spans="2:19" s="2" customFormat="1" hidden="1" x14ac:dyDescent="0.25">
      <c r="B808">
        <v>10256</v>
      </c>
      <c r="C808" t="s">
        <v>288</v>
      </c>
      <c r="D808" s="6">
        <v>42566</v>
      </c>
      <c r="E808" s="6">
        <v>42594</v>
      </c>
      <c r="F808" s="6">
        <v>42568</v>
      </c>
      <c r="G808" s="3" t="s">
        <v>645</v>
      </c>
      <c r="H808" s="3">
        <v>69.850000000000009</v>
      </c>
      <c r="I808" s="3" t="s">
        <v>386</v>
      </c>
      <c r="J808" s="3" t="str">
        <f t="shared" si="12"/>
        <v>Jul</v>
      </c>
      <c r="K808"/>
      <c r="L808"/>
      <c r="M808" s="6"/>
      <c r="N808" s="6"/>
      <c r="O808" s="6"/>
      <c r="P808" s="3"/>
      <c r="Q808" s="3"/>
      <c r="R808" s="3"/>
      <c r="S808" s="3"/>
    </row>
    <row r="809" spans="2:19" s="2" customFormat="1" hidden="1" x14ac:dyDescent="0.25">
      <c r="B809">
        <v>10420</v>
      </c>
      <c r="C809" t="s">
        <v>288</v>
      </c>
      <c r="D809" s="6">
        <v>42756</v>
      </c>
      <c r="E809" s="6">
        <v>42784</v>
      </c>
      <c r="F809" s="6">
        <v>42762</v>
      </c>
      <c r="G809" s="3" t="s">
        <v>644</v>
      </c>
      <c r="H809" s="3">
        <v>220.6</v>
      </c>
      <c r="I809" s="3" t="s">
        <v>386</v>
      </c>
      <c r="J809" s="3" t="str">
        <f t="shared" si="12"/>
        <v>Jan</v>
      </c>
      <c r="K809"/>
      <c r="L809"/>
      <c r="M809" s="6"/>
      <c r="N809" s="6"/>
      <c r="O809" s="6"/>
      <c r="P809" s="3"/>
      <c r="Q809" s="3"/>
      <c r="R809" s="3"/>
      <c r="S809" s="3"/>
    </row>
    <row r="810" spans="2:19" s="2" customFormat="1" hidden="1" x14ac:dyDescent="0.25">
      <c r="B810">
        <v>10585</v>
      </c>
      <c r="C810" t="s">
        <v>288</v>
      </c>
      <c r="D810" s="6">
        <v>42917</v>
      </c>
      <c r="E810" s="6">
        <v>42945</v>
      </c>
      <c r="F810" s="6">
        <v>42926</v>
      </c>
      <c r="G810" s="3" t="s">
        <v>644</v>
      </c>
      <c r="H810" s="3">
        <v>67.05</v>
      </c>
      <c r="I810" s="3" t="s">
        <v>386</v>
      </c>
      <c r="J810" s="3" t="str">
        <f t="shared" si="12"/>
        <v>Jul</v>
      </c>
      <c r="K810"/>
      <c r="L810"/>
      <c r="M810" s="6"/>
      <c r="N810" s="6"/>
      <c r="O810" s="6"/>
      <c r="P810" s="3"/>
      <c r="Q810" s="3"/>
      <c r="R810" s="3"/>
      <c r="S810" s="3"/>
    </row>
    <row r="811" spans="2:19" s="2" customFormat="1" hidden="1" x14ac:dyDescent="0.25">
      <c r="B811">
        <v>10644</v>
      </c>
      <c r="C811" t="s">
        <v>288</v>
      </c>
      <c r="D811" s="6">
        <v>42972</v>
      </c>
      <c r="E811" s="6">
        <v>43000</v>
      </c>
      <c r="F811" s="6">
        <v>42979</v>
      </c>
      <c r="G811" s="3" t="s">
        <v>645</v>
      </c>
      <c r="H811" s="3">
        <v>0.70000000000000007</v>
      </c>
      <c r="I811" s="3" t="s">
        <v>386</v>
      </c>
      <c r="J811" s="3" t="str">
        <f t="shared" si="12"/>
        <v>Aug</v>
      </c>
      <c r="K811"/>
      <c r="L811"/>
      <c r="M811" s="6"/>
      <c r="N811" s="6"/>
      <c r="O811" s="6"/>
      <c r="P811" s="3"/>
      <c r="Q811" s="3"/>
      <c r="R811" s="3"/>
      <c r="S811" s="3"/>
    </row>
    <row r="812" spans="2:19" s="2" customFormat="1" hidden="1" x14ac:dyDescent="0.25">
      <c r="B812">
        <v>10803</v>
      </c>
      <c r="C812" t="s">
        <v>288</v>
      </c>
      <c r="D812" s="6">
        <v>43099</v>
      </c>
      <c r="E812" s="6">
        <v>43127</v>
      </c>
      <c r="F812" s="6">
        <v>43106</v>
      </c>
      <c r="G812" s="3" t="s">
        <v>644</v>
      </c>
      <c r="H812" s="3">
        <v>276.14999999999998</v>
      </c>
      <c r="I812" s="3" t="s">
        <v>386</v>
      </c>
      <c r="J812" s="3" t="str">
        <f t="shared" si="12"/>
        <v>Dec</v>
      </c>
      <c r="K812"/>
      <c r="L812"/>
      <c r="M812" s="6"/>
      <c r="N812" s="6"/>
      <c r="O812" s="6"/>
      <c r="P812" s="3"/>
      <c r="Q812" s="3"/>
      <c r="R812" s="3"/>
      <c r="S812" s="3"/>
    </row>
    <row r="813" spans="2:19" s="2" customFormat="1" hidden="1" x14ac:dyDescent="0.25">
      <c r="B813">
        <v>10809</v>
      </c>
      <c r="C813" t="s">
        <v>288</v>
      </c>
      <c r="D813" s="6">
        <v>43101</v>
      </c>
      <c r="E813" s="6">
        <v>43129</v>
      </c>
      <c r="F813" s="6">
        <v>43107</v>
      </c>
      <c r="G813" s="3" t="s">
        <v>644</v>
      </c>
      <c r="H813" s="3">
        <v>24.35</v>
      </c>
      <c r="I813" s="3" t="s">
        <v>386</v>
      </c>
      <c r="J813" s="3" t="str">
        <f t="shared" si="12"/>
        <v>Jan</v>
      </c>
      <c r="K813"/>
      <c r="L813"/>
      <c r="M813" s="6"/>
      <c r="N813" s="6"/>
      <c r="O813" s="6"/>
      <c r="P813" s="3"/>
      <c r="Q813" s="3"/>
      <c r="R813" s="3"/>
      <c r="S813" s="3"/>
    </row>
    <row r="814" spans="2:19" s="2" customFormat="1" hidden="1" x14ac:dyDescent="0.25">
      <c r="B814">
        <v>10900</v>
      </c>
      <c r="C814" t="s">
        <v>288</v>
      </c>
      <c r="D814" s="6">
        <v>43151</v>
      </c>
      <c r="E814" s="6">
        <v>43179</v>
      </c>
      <c r="F814" s="6">
        <v>43163</v>
      </c>
      <c r="G814" s="3" t="s">
        <v>645</v>
      </c>
      <c r="H814" s="3">
        <v>8.2999999999999989</v>
      </c>
      <c r="I814" s="3" t="s">
        <v>386</v>
      </c>
      <c r="J814" s="3" t="str">
        <f t="shared" si="12"/>
        <v>Feb</v>
      </c>
      <c r="K814"/>
      <c r="L814"/>
      <c r="M814" s="6"/>
      <c r="N814" s="6"/>
      <c r="O814" s="6"/>
      <c r="P814" s="3"/>
      <c r="Q814" s="3"/>
      <c r="R814" s="3"/>
      <c r="S814" s="3"/>
    </row>
    <row r="815" spans="2:19" s="2" customFormat="1" hidden="1" x14ac:dyDescent="0.25">
      <c r="B815">
        <v>10905</v>
      </c>
      <c r="C815" t="s">
        <v>288</v>
      </c>
      <c r="D815" s="6">
        <v>43155</v>
      </c>
      <c r="E815" s="6">
        <v>43183</v>
      </c>
      <c r="F815" s="6">
        <v>43165</v>
      </c>
      <c r="G815" s="3" t="s">
        <v>645</v>
      </c>
      <c r="H815" s="3">
        <v>68.600000000000009</v>
      </c>
      <c r="I815" s="3" t="s">
        <v>386</v>
      </c>
      <c r="J815" s="3" t="str">
        <f t="shared" si="12"/>
        <v>Feb</v>
      </c>
      <c r="K815"/>
      <c r="L815"/>
      <c r="M815" s="6"/>
      <c r="N815" s="6"/>
      <c r="O815" s="6"/>
      <c r="P815" s="3"/>
      <c r="Q815" s="3"/>
      <c r="R815" s="3"/>
      <c r="S815" s="3"/>
    </row>
    <row r="816" spans="2:19" s="2" customFormat="1" hidden="1" x14ac:dyDescent="0.25">
      <c r="B816">
        <v>10935</v>
      </c>
      <c r="C816" t="s">
        <v>288</v>
      </c>
      <c r="D816" s="6">
        <v>43168</v>
      </c>
      <c r="E816" s="6">
        <v>43196</v>
      </c>
      <c r="F816" s="6">
        <v>43177</v>
      </c>
      <c r="G816" s="3" t="s">
        <v>646</v>
      </c>
      <c r="H816" s="3">
        <v>237.95000000000002</v>
      </c>
      <c r="I816" s="3" t="s">
        <v>386</v>
      </c>
      <c r="J816" s="3" t="str">
        <f t="shared" si="12"/>
        <v>Mar</v>
      </c>
      <c r="K816"/>
      <c r="L816"/>
      <c r="M816" s="6"/>
      <c r="N816" s="6"/>
      <c r="O816" s="6"/>
      <c r="P816" s="3"/>
      <c r="Q816" s="3"/>
      <c r="R816" s="3"/>
      <c r="S816" s="3"/>
    </row>
    <row r="817" spans="2:19" s="2" customFormat="1" hidden="1" x14ac:dyDescent="0.25">
      <c r="B817">
        <v>10269</v>
      </c>
      <c r="C817" t="s">
        <v>290</v>
      </c>
      <c r="D817" s="6">
        <v>42582</v>
      </c>
      <c r="E817" s="6">
        <v>42596</v>
      </c>
      <c r="F817" s="6">
        <v>42591</v>
      </c>
      <c r="G817" s="3" t="s">
        <v>644</v>
      </c>
      <c r="H817" s="3">
        <v>22.799999999999997</v>
      </c>
      <c r="I817" s="3" t="s">
        <v>1</v>
      </c>
      <c r="J817" s="3" t="str">
        <f t="shared" si="12"/>
        <v>Jul</v>
      </c>
      <c r="K817"/>
      <c r="L817"/>
      <c r="M817" s="6"/>
      <c r="N817" s="6"/>
      <c r="O817" s="6"/>
      <c r="P817" s="3"/>
      <c r="Q817" s="3"/>
      <c r="R817" s="3"/>
      <c r="S817" s="3"/>
    </row>
    <row r="818" spans="2:19" s="2" customFormat="1" hidden="1" x14ac:dyDescent="0.25">
      <c r="B818">
        <v>10344</v>
      </c>
      <c r="C818" t="s">
        <v>290</v>
      </c>
      <c r="D818" s="6">
        <v>42675</v>
      </c>
      <c r="E818" s="6">
        <v>42703</v>
      </c>
      <c r="F818" s="6">
        <v>42679</v>
      </c>
      <c r="G818" s="3" t="s">
        <v>645</v>
      </c>
      <c r="H818" s="3">
        <v>116.44999999999999</v>
      </c>
      <c r="I818" s="3" t="s">
        <v>1</v>
      </c>
      <c r="J818" s="3" t="str">
        <f t="shared" si="12"/>
        <v>Nov</v>
      </c>
      <c r="K818"/>
      <c r="L818"/>
      <c r="M818" s="6"/>
      <c r="N818" s="6"/>
      <c r="O818" s="6"/>
      <c r="P818" s="3"/>
      <c r="Q818" s="3"/>
      <c r="R818" s="3"/>
      <c r="S818" s="3"/>
    </row>
    <row r="819" spans="2:19" s="2" customFormat="1" hidden="1" x14ac:dyDescent="0.25">
      <c r="B819">
        <v>10469</v>
      </c>
      <c r="C819" t="s">
        <v>290</v>
      </c>
      <c r="D819" s="6">
        <v>42804</v>
      </c>
      <c r="E819" s="6">
        <v>42832</v>
      </c>
      <c r="F819" s="6">
        <v>42808</v>
      </c>
      <c r="G819" s="3" t="s">
        <v>644</v>
      </c>
      <c r="H819" s="3">
        <v>300.89999999999998</v>
      </c>
      <c r="I819" s="3" t="s">
        <v>1</v>
      </c>
      <c r="J819" s="3" t="str">
        <f t="shared" si="12"/>
        <v>Mar</v>
      </c>
      <c r="K819"/>
      <c r="L819"/>
      <c r="M819" s="6"/>
      <c r="N819" s="6"/>
      <c r="O819" s="6"/>
      <c r="P819" s="3"/>
      <c r="Q819" s="3"/>
      <c r="R819" s="3"/>
      <c r="S819" s="3"/>
    </row>
    <row r="820" spans="2:19" s="2" customFormat="1" hidden="1" x14ac:dyDescent="0.25">
      <c r="B820">
        <v>10483</v>
      </c>
      <c r="C820" t="s">
        <v>290</v>
      </c>
      <c r="D820" s="6">
        <v>42818</v>
      </c>
      <c r="E820" s="6">
        <v>42846</v>
      </c>
      <c r="F820" s="6">
        <v>42850</v>
      </c>
      <c r="G820" s="3" t="s">
        <v>645</v>
      </c>
      <c r="H820" s="3">
        <v>76.399999999999991</v>
      </c>
      <c r="I820" s="3" t="s">
        <v>1</v>
      </c>
      <c r="J820" s="3" t="str">
        <f t="shared" si="12"/>
        <v>Mar</v>
      </c>
      <c r="K820"/>
      <c r="L820"/>
      <c r="M820" s="6"/>
      <c r="N820" s="6"/>
      <c r="O820" s="6"/>
      <c r="P820" s="3"/>
      <c r="Q820" s="3"/>
      <c r="R820" s="3"/>
      <c r="S820" s="3"/>
    </row>
    <row r="821" spans="2:19" s="2" customFormat="1" hidden="1" x14ac:dyDescent="0.25">
      <c r="B821">
        <v>10504</v>
      </c>
      <c r="C821" t="s">
        <v>290</v>
      </c>
      <c r="D821" s="6">
        <v>42836</v>
      </c>
      <c r="E821" s="6">
        <v>42864</v>
      </c>
      <c r="F821" s="6">
        <v>42843</v>
      </c>
      <c r="G821" s="3" t="s">
        <v>646</v>
      </c>
      <c r="H821" s="3">
        <v>295.65000000000003</v>
      </c>
      <c r="I821" s="3" t="s">
        <v>1</v>
      </c>
      <c r="J821" s="3" t="str">
        <f t="shared" si="12"/>
        <v>Apr</v>
      </c>
      <c r="K821"/>
      <c r="L821"/>
      <c r="M821" s="6"/>
      <c r="N821" s="6"/>
      <c r="O821" s="6"/>
      <c r="P821" s="3"/>
      <c r="Q821" s="3"/>
      <c r="R821" s="3"/>
      <c r="S821" s="3"/>
    </row>
    <row r="822" spans="2:19" s="2" customFormat="1" hidden="1" x14ac:dyDescent="0.25">
      <c r="B822">
        <v>10596</v>
      </c>
      <c r="C822" t="s">
        <v>290</v>
      </c>
      <c r="D822" s="6">
        <v>42927</v>
      </c>
      <c r="E822" s="6">
        <v>42955</v>
      </c>
      <c r="F822" s="6">
        <v>42959</v>
      </c>
      <c r="G822" s="3" t="s">
        <v>644</v>
      </c>
      <c r="H822" s="3">
        <v>81.7</v>
      </c>
      <c r="I822" s="3" t="s">
        <v>1</v>
      </c>
      <c r="J822" s="3" t="str">
        <f t="shared" si="12"/>
        <v>Jul</v>
      </c>
      <c r="K822"/>
      <c r="L822"/>
      <c r="M822" s="6"/>
      <c r="N822" s="6"/>
      <c r="O822" s="6"/>
      <c r="P822" s="3"/>
      <c r="Q822" s="3"/>
      <c r="R822" s="3"/>
      <c r="S822" s="3"/>
    </row>
    <row r="823" spans="2:19" s="2" customFormat="1" hidden="1" x14ac:dyDescent="0.25">
      <c r="B823">
        <v>10693</v>
      </c>
      <c r="C823" t="s">
        <v>290</v>
      </c>
      <c r="D823" s="6">
        <v>43014</v>
      </c>
      <c r="E823" s="6">
        <v>43028</v>
      </c>
      <c r="F823" s="6">
        <v>43018</v>
      </c>
      <c r="G823" s="3" t="s">
        <v>646</v>
      </c>
      <c r="H823" s="3">
        <v>696.7</v>
      </c>
      <c r="I823" s="3" t="s">
        <v>1</v>
      </c>
      <c r="J823" s="3" t="str">
        <f t="shared" si="12"/>
        <v>Oct</v>
      </c>
      <c r="K823"/>
      <c r="L823"/>
      <c r="M823" s="6"/>
      <c r="N823" s="6"/>
      <c r="O823" s="6"/>
      <c r="P823" s="3"/>
      <c r="Q823" s="3"/>
      <c r="R823" s="3"/>
      <c r="S823" s="3"/>
    </row>
    <row r="824" spans="2:19" s="2" customFormat="1" hidden="1" x14ac:dyDescent="0.25">
      <c r="B824">
        <v>10696</v>
      </c>
      <c r="C824" t="s">
        <v>290</v>
      </c>
      <c r="D824" s="6">
        <v>43016</v>
      </c>
      <c r="E824" s="6">
        <v>43058</v>
      </c>
      <c r="F824" s="6">
        <v>43022</v>
      </c>
      <c r="G824" s="3" t="s">
        <v>646</v>
      </c>
      <c r="H824" s="3">
        <v>512.75</v>
      </c>
      <c r="I824" s="3" t="s">
        <v>1</v>
      </c>
      <c r="J824" s="3" t="str">
        <f t="shared" si="12"/>
        <v>Oct</v>
      </c>
      <c r="K824"/>
      <c r="L824"/>
      <c r="M824" s="6"/>
      <c r="N824" s="6"/>
      <c r="O824" s="6"/>
      <c r="P824" s="3"/>
      <c r="Q824" s="3"/>
      <c r="R824" s="3"/>
      <c r="S824" s="3"/>
    </row>
    <row r="825" spans="2:19" s="2" customFormat="1" hidden="1" x14ac:dyDescent="0.25">
      <c r="B825">
        <v>10723</v>
      </c>
      <c r="C825" t="s">
        <v>290</v>
      </c>
      <c r="D825" s="6">
        <v>43038</v>
      </c>
      <c r="E825" s="6">
        <v>43066</v>
      </c>
      <c r="F825" s="6">
        <v>43064</v>
      </c>
      <c r="G825" s="3" t="s">
        <v>644</v>
      </c>
      <c r="H825" s="3">
        <v>108.6</v>
      </c>
      <c r="I825" s="3" t="s">
        <v>1</v>
      </c>
      <c r="J825" s="3" t="str">
        <f t="shared" si="12"/>
        <v>Oct</v>
      </c>
      <c r="K825"/>
      <c r="L825"/>
      <c r="M825" s="6"/>
      <c r="N825" s="6"/>
      <c r="O825" s="6"/>
      <c r="P825" s="3"/>
      <c r="Q825" s="3"/>
      <c r="R825" s="3"/>
      <c r="S825" s="3"/>
    </row>
    <row r="826" spans="2:19" s="2" customFormat="1" hidden="1" x14ac:dyDescent="0.25">
      <c r="B826">
        <v>10740</v>
      </c>
      <c r="C826" t="s">
        <v>290</v>
      </c>
      <c r="D826" s="6">
        <v>43052</v>
      </c>
      <c r="E826" s="6">
        <v>43080</v>
      </c>
      <c r="F826" s="6">
        <v>43064</v>
      </c>
      <c r="G826" s="3" t="s">
        <v>645</v>
      </c>
      <c r="H826" s="3">
        <v>409.4</v>
      </c>
      <c r="I826" s="3" t="s">
        <v>1</v>
      </c>
      <c r="J826" s="3" t="str">
        <f t="shared" si="12"/>
        <v>Nov</v>
      </c>
      <c r="K826"/>
      <c r="L826"/>
      <c r="M826" s="6"/>
      <c r="N826" s="6"/>
      <c r="O826" s="6"/>
      <c r="P826" s="3"/>
      <c r="Q826" s="3"/>
      <c r="R826" s="3"/>
      <c r="S826" s="3"/>
    </row>
    <row r="827" spans="2:19" s="2" customFormat="1" hidden="1" x14ac:dyDescent="0.25">
      <c r="B827">
        <v>10861</v>
      </c>
      <c r="C827" t="s">
        <v>290</v>
      </c>
      <c r="D827" s="6">
        <v>43130</v>
      </c>
      <c r="E827" s="6">
        <v>43158</v>
      </c>
      <c r="F827" s="6">
        <v>43148</v>
      </c>
      <c r="G827" s="3" t="s">
        <v>645</v>
      </c>
      <c r="H827" s="3">
        <v>74.650000000000006</v>
      </c>
      <c r="I827" s="3" t="s">
        <v>1</v>
      </c>
      <c r="J827" s="3" t="str">
        <f t="shared" si="12"/>
        <v>Jan</v>
      </c>
      <c r="K827"/>
      <c r="L827"/>
      <c r="M827" s="6"/>
      <c r="N827" s="6"/>
      <c r="O827" s="6"/>
      <c r="P827" s="3"/>
      <c r="Q827" s="3"/>
      <c r="R827" s="3"/>
      <c r="S827" s="3"/>
    </row>
    <row r="828" spans="2:19" s="2" customFormat="1" hidden="1" x14ac:dyDescent="0.25">
      <c r="B828">
        <v>10904</v>
      </c>
      <c r="C828" t="s">
        <v>290</v>
      </c>
      <c r="D828" s="6">
        <v>43155</v>
      </c>
      <c r="E828" s="6">
        <v>43183</v>
      </c>
      <c r="F828" s="6">
        <v>43158</v>
      </c>
      <c r="G828" s="3" t="s">
        <v>646</v>
      </c>
      <c r="H828" s="3">
        <v>814.75</v>
      </c>
      <c r="I828" s="3" t="s">
        <v>1</v>
      </c>
      <c r="J828" s="3" t="str">
        <f t="shared" si="12"/>
        <v>Feb</v>
      </c>
      <c r="K828"/>
      <c r="L828"/>
      <c r="M828" s="6"/>
      <c r="N828" s="6"/>
      <c r="O828" s="6"/>
      <c r="P828" s="3"/>
      <c r="Q828" s="3"/>
      <c r="R828" s="3"/>
      <c r="S828" s="3"/>
    </row>
    <row r="829" spans="2:19" s="2" customFormat="1" hidden="1" x14ac:dyDescent="0.25">
      <c r="B829">
        <v>11032</v>
      </c>
      <c r="C829" t="s">
        <v>290</v>
      </c>
      <c r="D829" s="6">
        <v>43207</v>
      </c>
      <c r="E829" s="6">
        <v>43235</v>
      </c>
      <c r="F829" s="6">
        <v>43213</v>
      </c>
      <c r="G829" s="3" t="s">
        <v>646</v>
      </c>
      <c r="H829" s="3">
        <v>3030.9500000000003</v>
      </c>
      <c r="I829" s="3" t="s">
        <v>1</v>
      </c>
      <c r="J829" s="3" t="str">
        <f t="shared" si="12"/>
        <v>Apr</v>
      </c>
      <c r="K829"/>
      <c r="L829"/>
      <c r="M829" s="6"/>
      <c r="N829" s="6"/>
      <c r="O829" s="6"/>
      <c r="P829" s="3"/>
      <c r="Q829" s="3"/>
      <c r="R829" s="3"/>
      <c r="S829" s="3"/>
    </row>
    <row r="830" spans="2:19" s="2" customFormat="1" hidden="1" x14ac:dyDescent="0.25">
      <c r="B830">
        <v>11066</v>
      </c>
      <c r="C830" t="s">
        <v>290</v>
      </c>
      <c r="D830" s="6">
        <v>43221</v>
      </c>
      <c r="E830" s="6">
        <v>43249</v>
      </c>
      <c r="F830" s="6">
        <v>43224</v>
      </c>
      <c r="G830" s="3" t="s">
        <v>645</v>
      </c>
      <c r="H830" s="3">
        <v>223.6</v>
      </c>
      <c r="I830" s="3" t="s">
        <v>1</v>
      </c>
      <c r="J830" s="3" t="str">
        <f t="shared" si="12"/>
        <v>May</v>
      </c>
      <c r="K830"/>
      <c r="L830"/>
      <c r="M830" s="6"/>
      <c r="N830" s="6"/>
      <c r="O830" s="6"/>
      <c r="P830" s="3"/>
      <c r="Q830" s="3"/>
      <c r="R830" s="3"/>
      <c r="S830" s="3"/>
    </row>
    <row r="831" spans="2:19" s="2" customFormat="1" hidden="1" x14ac:dyDescent="0.25">
      <c r="B831">
        <v>10248</v>
      </c>
      <c r="C831" t="s">
        <v>293</v>
      </c>
      <c r="D831" s="6">
        <v>42555</v>
      </c>
      <c r="E831" s="6">
        <v>42583</v>
      </c>
      <c r="F831" s="6">
        <v>42567</v>
      </c>
      <c r="G831" s="3" t="s">
        <v>646</v>
      </c>
      <c r="H831" s="3">
        <v>161.9</v>
      </c>
      <c r="I831" s="3" t="s">
        <v>0</v>
      </c>
      <c r="J831" s="3" t="str">
        <f t="shared" si="12"/>
        <v>Jul</v>
      </c>
      <c r="K831"/>
      <c r="L831"/>
      <c r="M831" s="6"/>
      <c r="N831" s="6"/>
      <c r="O831" s="6"/>
      <c r="P831" s="3"/>
      <c r="Q831" s="3"/>
      <c r="R831" s="3"/>
      <c r="S831" s="3"/>
    </row>
    <row r="832" spans="2:19" s="2" customFormat="1" hidden="1" x14ac:dyDescent="0.25">
      <c r="B832">
        <v>10615</v>
      </c>
      <c r="C832" t="s">
        <v>293</v>
      </c>
      <c r="D832" s="6">
        <v>42946</v>
      </c>
      <c r="E832" s="6">
        <v>42974</v>
      </c>
      <c r="F832" s="6">
        <v>42953</v>
      </c>
      <c r="G832" s="3" t="s">
        <v>646</v>
      </c>
      <c r="H832" s="3">
        <v>3.75</v>
      </c>
      <c r="I832" s="3" t="s">
        <v>0</v>
      </c>
      <c r="J832" s="3" t="str">
        <f t="shared" si="12"/>
        <v>Jul</v>
      </c>
      <c r="K832"/>
      <c r="L832"/>
      <c r="M832" s="6"/>
      <c r="N832" s="6"/>
      <c r="O832" s="6"/>
      <c r="P832" s="3"/>
      <c r="Q832" s="3"/>
      <c r="R832" s="3"/>
      <c r="S832" s="3"/>
    </row>
    <row r="833" spans="2:19" s="2" customFormat="1" hidden="1" x14ac:dyDescent="0.25">
      <c r="B833">
        <v>10673</v>
      </c>
      <c r="C833" t="s">
        <v>293</v>
      </c>
      <c r="D833" s="6">
        <v>42996</v>
      </c>
      <c r="E833" s="6">
        <v>43024</v>
      </c>
      <c r="F833" s="6">
        <v>42997</v>
      </c>
      <c r="G833" s="3" t="s">
        <v>644</v>
      </c>
      <c r="H833" s="3">
        <v>113.80000000000001</v>
      </c>
      <c r="I833" s="3" t="s">
        <v>0</v>
      </c>
      <c r="J833" s="3" t="str">
        <f t="shared" si="12"/>
        <v>Sep</v>
      </c>
      <c r="K833"/>
      <c r="L833"/>
      <c r="M833" s="6"/>
      <c r="N833" s="6"/>
      <c r="O833" s="6"/>
      <c r="P833" s="3"/>
      <c r="Q833" s="3"/>
      <c r="R833" s="3"/>
      <c r="S833" s="3"/>
    </row>
    <row r="834" spans="2:19" s="2" customFormat="1" hidden="1" x14ac:dyDescent="0.25">
      <c r="B834">
        <v>10695</v>
      </c>
      <c r="C834" t="s">
        <v>293</v>
      </c>
      <c r="D834" s="6">
        <v>43015</v>
      </c>
      <c r="E834" s="6">
        <v>43057</v>
      </c>
      <c r="F834" s="6">
        <v>43022</v>
      </c>
      <c r="G834" s="3" t="s">
        <v>644</v>
      </c>
      <c r="H834" s="3">
        <v>83.6</v>
      </c>
      <c r="I834" s="3" t="s">
        <v>0</v>
      </c>
      <c r="J834" s="3" t="str">
        <f t="shared" si="12"/>
        <v>Oct</v>
      </c>
      <c r="K834"/>
      <c r="L834"/>
      <c r="M834" s="6"/>
      <c r="N834" s="6"/>
      <c r="O834" s="6"/>
      <c r="P834" s="3"/>
      <c r="Q834" s="3"/>
      <c r="R834" s="3"/>
      <c r="S834" s="3"/>
    </row>
    <row r="835" spans="2:19" s="2" customFormat="1" hidden="1" x14ac:dyDescent="0.25">
      <c r="B835">
        <v>10873</v>
      </c>
      <c r="C835" t="s">
        <v>293</v>
      </c>
      <c r="D835" s="6">
        <v>43137</v>
      </c>
      <c r="E835" s="6">
        <v>43165</v>
      </c>
      <c r="F835" s="6">
        <v>43140</v>
      </c>
      <c r="G835" s="3" t="s">
        <v>644</v>
      </c>
      <c r="H835" s="3">
        <v>4.0999999999999996</v>
      </c>
      <c r="I835" s="3" t="s">
        <v>0</v>
      </c>
      <c r="J835" s="3" t="str">
        <f t="shared" si="12"/>
        <v>Feb</v>
      </c>
      <c r="K835"/>
      <c r="L835"/>
      <c r="M835" s="6"/>
      <c r="N835" s="6"/>
      <c r="O835" s="6"/>
      <c r="P835" s="3"/>
      <c r="Q835" s="3"/>
      <c r="R835" s="3"/>
      <c r="S835" s="3"/>
    </row>
    <row r="836" spans="2:19" s="2" customFormat="1" hidden="1" x14ac:dyDescent="0.25">
      <c r="B836">
        <v>10879</v>
      </c>
      <c r="C836" t="s">
        <v>293</v>
      </c>
      <c r="D836" s="6">
        <v>43141</v>
      </c>
      <c r="E836" s="6">
        <v>43169</v>
      </c>
      <c r="F836" s="6">
        <v>43143</v>
      </c>
      <c r="G836" s="3" t="s">
        <v>646</v>
      </c>
      <c r="H836" s="3">
        <v>42.5</v>
      </c>
      <c r="I836" s="3" t="s">
        <v>0</v>
      </c>
      <c r="J836" s="3" t="str">
        <f t="shared" si="12"/>
        <v>Feb</v>
      </c>
      <c r="K836"/>
      <c r="L836"/>
      <c r="M836" s="6"/>
      <c r="N836" s="6"/>
      <c r="O836" s="6"/>
      <c r="P836" s="3"/>
      <c r="Q836" s="3"/>
      <c r="R836" s="3"/>
      <c r="S836" s="3"/>
    </row>
    <row r="837" spans="2:19" s="2" customFormat="1" hidden="1" x14ac:dyDescent="0.25">
      <c r="B837">
        <v>10910</v>
      </c>
      <c r="C837" t="s">
        <v>293</v>
      </c>
      <c r="D837" s="6">
        <v>43157</v>
      </c>
      <c r="E837" s="6">
        <v>43185</v>
      </c>
      <c r="F837" s="6">
        <v>43163</v>
      </c>
      <c r="G837" s="3" t="s">
        <v>646</v>
      </c>
      <c r="H837" s="3">
        <v>190.55</v>
      </c>
      <c r="I837" s="3" t="s">
        <v>0</v>
      </c>
      <c r="J837" s="3" t="str">
        <f t="shared" si="12"/>
        <v>Feb</v>
      </c>
      <c r="K837"/>
      <c r="L837"/>
      <c r="M837" s="6"/>
      <c r="N837" s="6"/>
      <c r="O837" s="6"/>
      <c r="P837" s="3"/>
      <c r="Q837" s="3"/>
      <c r="R837" s="3"/>
      <c r="S837" s="3"/>
    </row>
    <row r="838" spans="2:19" s="2" customFormat="1" hidden="1" x14ac:dyDescent="0.25">
      <c r="B838">
        <v>11005</v>
      </c>
      <c r="C838" t="s">
        <v>293</v>
      </c>
      <c r="D838" s="6">
        <v>43197</v>
      </c>
      <c r="E838" s="6">
        <v>43225</v>
      </c>
      <c r="F838" s="6">
        <v>43200</v>
      </c>
      <c r="G838" s="3" t="s">
        <v>644</v>
      </c>
      <c r="H838" s="3">
        <v>3.75</v>
      </c>
      <c r="I838" s="3" t="s">
        <v>0</v>
      </c>
      <c r="J838" s="3" t="str">
        <f t="shared" si="12"/>
        <v>Apr</v>
      </c>
      <c r="K838"/>
      <c r="L838"/>
      <c r="M838" s="6"/>
      <c r="N838" s="6"/>
      <c r="O838" s="6"/>
      <c r="P838" s="3"/>
      <c r="Q838" s="3"/>
      <c r="R838" s="3"/>
      <c r="S838" s="3"/>
    </row>
    <row r="839" spans="2:19" s="2" customFormat="1" hidden="1" x14ac:dyDescent="0.25">
      <c r="B839">
        <v>10374</v>
      </c>
      <c r="C839" t="s">
        <v>296</v>
      </c>
      <c r="D839" s="6">
        <v>42709</v>
      </c>
      <c r="E839" s="6">
        <v>42737</v>
      </c>
      <c r="F839" s="6">
        <v>42713</v>
      </c>
      <c r="G839" s="3" t="s">
        <v>646</v>
      </c>
      <c r="H839" s="3">
        <v>19.7</v>
      </c>
      <c r="I839" s="3" t="s">
        <v>387</v>
      </c>
      <c r="J839" s="3" t="str">
        <f t="shared" si="12"/>
        <v>Dec</v>
      </c>
      <c r="K839"/>
      <c r="L839"/>
      <c r="M839" s="6"/>
      <c r="N839" s="6"/>
      <c r="O839" s="6"/>
      <c r="P839" s="3"/>
      <c r="Q839" s="3"/>
      <c r="R839" s="3"/>
      <c r="S839" s="3"/>
    </row>
    <row r="840" spans="2:19" s="2" customFormat="1" hidden="1" x14ac:dyDescent="0.25">
      <c r="B840">
        <v>10611</v>
      </c>
      <c r="C840" t="s">
        <v>296</v>
      </c>
      <c r="D840" s="6">
        <v>42941</v>
      </c>
      <c r="E840" s="6">
        <v>42969</v>
      </c>
      <c r="F840" s="6">
        <v>42948</v>
      </c>
      <c r="G840" s="3" t="s">
        <v>645</v>
      </c>
      <c r="H840" s="3">
        <v>403.25</v>
      </c>
      <c r="I840" s="3" t="s">
        <v>387</v>
      </c>
      <c r="J840" s="3" t="str">
        <f t="shared" si="12"/>
        <v>Jul</v>
      </c>
      <c r="K840"/>
      <c r="L840"/>
      <c r="M840" s="6"/>
      <c r="N840" s="6"/>
      <c r="O840" s="6"/>
      <c r="P840" s="3"/>
      <c r="Q840" s="3"/>
      <c r="R840" s="3"/>
      <c r="S840" s="3"/>
    </row>
    <row r="841" spans="2:19" s="2" customFormat="1" hidden="1" x14ac:dyDescent="0.25">
      <c r="B841">
        <v>10792</v>
      </c>
      <c r="C841" t="s">
        <v>296</v>
      </c>
      <c r="D841" s="6">
        <v>43092</v>
      </c>
      <c r="E841" s="6">
        <v>43120</v>
      </c>
      <c r="F841" s="6">
        <v>43100</v>
      </c>
      <c r="G841" s="3" t="s">
        <v>646</v>
      </c>
      <c r="H841" s="3">
        <v>118.94999999999999</v>
      </c>
      <c r="I841" s="3" t="s">
        <v>387</v>
      </c>
      <c r="J841" s="3" t="str">
        <f t="shared" si="12"/>
        <v>Dec</v>
      </c>
    </row>
    <row r="842" spans="2:19" s="2" customFormat="1" hidden="1" x14ac:dyDescent="0.25">
      <c r="B842">
        <v>10870</v>
      </c>
      <c r="C842" t="s">
        <v>296</v>
      </c>
      <c r="D842" s="6">
        <v>43135</v>
      </c>
      <c r="E842" s="6">
        <v>43163</v>
      </c>
      <c r="F842" s="6">
        <v>43144</v>
      </c>
      <c r="G842" s="3" t="s">
        <v>646</v>
      </c>
      <c r="H842" s="3">
        <v>60.199999999999996</v>
      </c>
      <c r="I842" s="3" t="s">
        <v>387</v>
      </c>
      <c r="J842" s="3" t="str">
        <f t="shared" si="12"/>
        <v>Feb</v>
      </c>
    </row>
    <row r="843" spans="2:19" s="2" customFormat="1" hidden="1" x14ac:dyDescent="0.25">
      <c r="B843">
        <v>10906</v>
      </c>
      <c r="C843" t="s">
        <v>296</v>
      </c>
      <c r="D843" s="6">
        <v>43156</v>
      </c>
      <c r="E843" s="6">
        <v>43170</v>
      </c>
      <c r="F843" s="6">
        <v>43162</v>
      </c>
      <c r="G843" s="3" t="s">
        <v>646</v>
      </c>
      <c r="H843" s="3">
        <v>131.44999999999999</v>
      </c>
      <c r="I843" s="3" t="s">
        <v>387</v>
      </c>
      <c r="J843" s="3" t="str">
        <f t="shared" si="12"/>
        <v>Feb</v>
      </c>
    </row>
    <row r="844" spans="2:19" s="2" customFormat="1" hidden="1" x14ac:dyDescent="0.25">
      <c r="B844">
        <v>10998</v>
      </c>
      <c r="C844" t="s">
        <v>296</v>
      </c>
      <c r="D844" s="6">
        <v>43193</v>
      </c>
      <c r="E844" s="6">
        <v>43207</v>
      </c>
      <c r="F844" s="6">
        <v>43207</v>
      </c>
      <c r="G844" s="3" t="s">
        <v>645</v>
      </c>
      <c r="H844" s="3">
        <v>101.55</v>
      </c>
      <c r="I844" s="3" t="s">
        <v>387</v>
      </c>
      <c r="J844" s="3" t="str">
        <f t="shared" si="12"/>
        <v>Apr</v>
      </c>
    </row>
    <row r="845" spans="2:19" s="2" customFormat="1" hidden="1" x14ac:dyDescent="0.25">
      <c r="B845">
        <v>11044</v>
      </c>
      <c r="C845" t="s">
        <v>296</v>
      </c>
      <c r="D845" s="6">
        <v>43213</v>
      </c>
      <c r="E845" s="6">
        <v>43241</v>
      </c>
      <c r="F845" s="6">
        <v>43221</v>
      </c>
      <c r="G845" s="3" t="s">
        <v>644</v>
      </c>
      <c r="H845" s="3">
        <v>43.6</v>
      </c>
      <c r="I845" s="3" t="s">
        <v>387</v>
      </c>
      <c r="J845" s="3" t="str">
        <f t="shared" si="12"/>
        <v>Apr</v>
      </c>
    </row>
  </sheetData>
  <sheetProtection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09568D8-A2BF-4069-9133-5B5BDA84393A}">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Customer Info</vt:lpstr>
      <vt:lpstr>Order Info</vt:lpstr>
      <vt:lpstr>Yearly_Order_Pivot</vt:lpstr>
      <vt:lpstr>Customer Dashboard</vt:lpstr>
      <vt:lpstr>'Customer Dashboard'!Criteria</vt:lpstr>
      <vt:lpstr>'Customer 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Gaurav Pandey</cp:lastModifiedBy>
  <dcterms:created xsi:type="dcterms:W3CDTF">2017-10-12T19:45:47Z</dcterms:created>
  <dcterms:modified xsi:type="dcterms:W3CDTF">2025-03-02T15:13:29Z</dcterms:modified>
</cp:coreProperties>
</file>